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ate1904="1" showInkAnnotation="0" autoCompressPictures="0"/>
  <mc:AlternateContent xmlns:mc="http://schemas.openxmlformats.org/markup-compatibility/2006">
    <mc:Choice Requires="x15">
      <x15ac:absPath xmlns:x15ac="http://schemas.microsoft.com/office/spreadsheetml/2010/11/ac" url="E:\00_2025_M_Submitted\Published\2023_M_Wong_19-675_HU 22C vs 32C_9-30-22\NASA\"/>
    </mc:Choice>
  </mc:AlternateContent>
  <xr:revisionPtr revIDLastSave="0" documentId="13_ncr:1_{F6E72F06-46CB-4EA2-A143-52162D411ADE}" xr6:coauthVersionLast="36" xr6:coauthVersionMax="44" xr10:uidLastSave="{00000000-0000-0000-0000-000000000000}"/>
  <bookViews>
    <workbookView xWindow="-105" yWindow="-105" windowWidth="19425" windowHeight="10560" tabRatio="903" xr2:uid="{00000000-000D-0000-FFFF-FFFF00000000}"/>
  </bookViews>
  <sheets>
    <sheet name="Table" sheetId="1" r:id="rId1"/>
    <sheet name="Necropsy Body Weight" sheetId="2" r:id="rId2"/>
    <sheet name="Necropsy Uterus Weight" sheetId="24" r:id="rId3"/>
    <sheet name="uCT_Femur Total" sheetId="5" r:id="rId4"/>
    <sheet name="uCT_Femur Diaphysis Cortical" sheetId="16" r:id="rId5"/>
    <sheet name="uCT_Femur Metaphysis Cancellous" sheetId="12" r:id="rId6"/>
    <sheet name=" uCT_Femur Epiphysis Cancellous" sheetId="18" r:id="rId7"/>
    <sheet name="uCT_Humerus_Total" sheetId="23" r:id="rId8"/>
    <sheet name="uCT_Humerus Diaphysis Cortical" sheetId="21" r:id="rId9"/>
    <sheet name="uCT_Humerus Metaphysis Canc" sheetId="17" r:id="rId10"/>
    <sheet name="uCT_Humerus Epiphysis Canc" sheetId="22" r:id="rId11"/>
  </sheets>
  <calcPr calcId="191029"/>
</workbook>
</file>

<file path=xl/calcChain.xml><?xml version="1.0" encoding="utf-8"?>
<calcChain xmlns="http://schemas.openxmlformats.org/spreadsheetml/2006/main">
  <c r="A52" i="24" l="1"/>
  <c r="A51" i="24"/>
  <c r="A41" i="24"/>
  <c r="A31" i="24"/>
  <c r="A21" i="24"/>
  <c r="A11" i="24"/>
  <c r="A52" i="23" l="1"/>
  <c r="A51" i="23"/>
  <c r="A41" i="23"/>
  <c r="A31" i="23"/>
  <c r="A21" i="23"/>
  <c r="A11" i="23"/>
  <c r="A52" i="21" l="1"/>
  <c r="H51" i="21"/>
  <c r="A51" i="21"/>
  <c r="H50" i="21"/>
  <c r="H49" i="21"/>
  <c r="H48" i="21"/>
  <c r="H47" i="21"/>
  <c r="H46" i="21"/>
  <c r="H45" i="21"/>
  <c r="H44" i="21"/>
  <c r="H43" i="21"/>
  <c r="H42" i="21"/>
  <c r="H41" i="21"/>
  <c r="A41" i="21"/>
  <c r="H40" i="21"/>
  <c r="H39" i="21"/>
  <c r="H38" i="21"/>
  <c r="H37" i="21"/>
  <c r="H36" i="21"/>
  <c r="H35" i="21"/>
  <c r="H34" i="21"/>
  <c r="H33" i="21"/>
  <c r="H32" i="21"/>
  <c r="H31" i="21"/>
  <c r="A31" i="21"/>
  <c r="H30" i="21"/>
  <c r="H29" i="21"/>
  <c r="H28" i="21"/>
  <c r="H27" i="21"/>
  <c r="H26" i="21"/>
  <c r="H25" i="21"/>
  <c r="H24" i="21"/>
  <c r="H23" i="21"/>
  <c r="H22" i="21"/>
  <c r="H21" i="21"/>
  <c r="A21" i="21"/>
  <c r="H20" i="21"/>
  <c r="H19" i="21"/>
  <c r="H18" i="21"/>
  <c r="H17" i="21"/>
  <c r="H16" i="21"/>
  <c r="H15" i="21"/>
  <c r="H14" i="21"/>
  <c r="H13" i="21"/>
  <c r="H12" i="21"/>
  <c r="H11" i="21"/>
  <c r="A11" i="21"/>
  <c r="H10" i="21"/>
  <c r="H9" i="21"/>
  <c r="H8" i="21"/>
  <c r="H7" i="21"/>
  <c r="H6" i="21"/>
  <c r="H5" i="21"/>
  <c r="H4" i="21"/>
  <c r="H3" i="21"/>
  <c r="H2" i="21"/>
  <c r="A52" i="22" l="1"/>
  <c r="A51" i="22"/>
  <c r="A41" i="22"/>
  <c r="A31" i="22"/>
  <c r="A21" i="22"/>
  <c r="A11" i="22"/>
  <c r="A52" i="17" l="1"/>
  <c r="A51" i="17"/>
  <c r="A41" i="17"/>
  <c r="A31" i="17"/>
  <c r="A21" i="17"/>
  <c r="A11" i="17"/>
  <c r="A52" i="18" l="1"/>
  <c r="A51" i="18"/>
  <c r="A41" i="18"/>
  <c r="A31" i="18"/>
  <c r="A21" i="18"/>
  <c r="A11" i="18"/>
  <c r="A11" i="12" l="1"/>
  <c r="A52" i="12"/>
  <c r="A51" i="12"/>
  <c r="A41" i="12"/>
  <c r="A31" i="12"/>
  <c r="A21" i="12"/>
  <c r="A52" i="16" l="1"/>
  <c r="H51" i="16"/>
  <c r="A51" i="16"/>
  <c r="H50" i="16"/>
  <c r="H49" i="16"/>
  <c r="H48" i="16"/>
  <c r="H47" i="16"/>
  <c r="H46" i="16"/>
  <c r="H45" i="16"/>
  <c r="H44" i="16"/>
  <c r="H43" i="16"/>
  <c r="H42" i="16"/>
  <c r="H41" i="16"/>
  <c r="A41" i="16"/>
  <c r="H40" i="16"/>
  <c r="H39" i="16"/>
  <c r="H38" i="16"/>
  <c r="H37" i="16"/>
  <c r="H36" i="16"/>
  <c r="H35" i="16"/>
  <c r="H34" i="16"/>
  <c r="H33" i="16"/>
  <c r="H32" i="16"/>
  <c r="H31" i="16"/>
  <c r="A31" i="16"/>
  <c r="H30" i="16"/>
  <c r="H29" i="16"/>
  <c r="H28" i="16"/>
  <c r="H27" i="16"/>
  <c r="H26" i="16"/>
  <c r="H25" i="16"/>
  <c r="H24" i="16"/>
  <c r="H23" i="16"/>
  <c r="H22" i="16"/>
  <c r="H21" i="16"/>
  <c r="A21" i="16"/>
  <c r="H20" i="16"/>
  <c r="H19" i="16"/>
  <c r="H18" i="16"/>
  <c r="H17" i="16"/>
  <c r="H16" i="16"/>
  <c r="H15" i="16"/>
  <c r="H14" i="16"/>
  <c r="H13" i="16"/>
  <c r="H12" i="16"/>
  <c r="H11" i="16"/>
  <c r="A11" i="16"/>
  <c r="H10" i="16"/>
  <c r="H9" i="16"/>
  <c r="H8" i="16"/>
  <c r="H7" i="16"/>
  <c r="H6" i="16"/>
  <c r="H5" i="16"/>
  <c r="H4" i="16"/>
  <c r="H3" i="16"/>
  <c r="H2" i="16"/>
  <c r="A52" i="5" l="1"/>
  <c r="A51" i="5"/>
  <c r="A41" i="5"/>
  <c r="A31" i="5"/>
  <c r="A21" i="5"/>
  <c r="A11" i="5"/>
  <c r="A52" i="2" l="1"/>
  <c r="A51" i="2"/>
  <c r="A41" i="2"/>
  <c r="A31" i="2"/>
  <c r="A21" i="2"/>
  <c r="A11" i="2"/>
</calcChain>
</file>

<file path=xl/sharedStrings.xml><?xml version="1.0" encoding="utf-8"?>
<sst xmlns="http://schemas.openxmlformats.org/spreadsheetml/2006/main" count="1328" uniqueCount="77">
  <si>
    <t>N</t>
  </si>
  <si>
    <t>Control</t>
  </si>
  <si>
    <t>Comments</t>
  </si>
  <si>
    <t>Treatment</t>
  </si>
  <si>
    <t>±</t>
  </si>
  <si>
    <t>Necropsy</t>
  </si>
  <si>
    <t>microComputed Tomography</t>
  </si>
  <si>
    <t>Scout View Length (mm)</t>
  </si>
  <si>
    <t>Bone Volume/Tissue Volume (%)</t>
  </si>
  <si>
    <t>Connectivity Density (1/mm³)</t>
  </si>
  <si>
    <t>Trabecular Number (1/mm)</t>
  </si>
  <si>
    <t>Trabecular Thickness (µm)</t>
  </si>
  <si>
    <t>Trabecular Spacing  (µm)</t>
  </si>
  <si>
    <t>Cross-Sectional Volume (mm³)</t>
  </si>
  <si>
    <t>Cortical Volume (mm³)</t>
  </si>
  <si>
    <t>Marrow Volume (mm³)</t>
  </si>
  <si>
    <t>Cortical Thickness (µm)</t>
  </si>
  <si>
    <t>Data are mean ± SE</t>
  </si>
  <si>
    <r>
      <t>I</t>
    </r>
    <r>
      <rPr>
        <vertAlign val="subscript"/>
        <sz val="10"/>
        <rFont val="Arial"/>
        <family val="2"/>
      </rPr>
      <t>polar</t>
    </r>
    <r>
      <rPr>
        <sz val="10"/>
        <rFont val="Arial"/>
        <family val="2"/>
      </rPr>
      <t xml:space="preserve"> (mm⁴)</t>
    </r>
  </si>
  <si>
    <t>22°C (72°F)</t>
  </si>
  <si>
    <t>32°C (90°F)</t>
  </si>
  <si>
    <t>Baseline</t>
  </si>
  <si>
    <t>HLU</t>
  </si>
  <si>
    <t>Body weight (g)</t>
  </si>
  <si>
    <t>Femur Total</t>
  </si>
  <si>
    <t>Bone Volume (mm³)</t>
  </si>
  <si>
    <r>
      <t>Distal Femur Metaphysis</t>
    </r>
    <r>
      <rPr>
        <sz val="10"/>
        <rFont val="Arial"/>
        <family val="2"/>
      </rPr>
      <t xml:space="preserve"> (cancellous bone, 40 slices = 480µm)</t>
    </r>
  </si>
  <si>
    <r>
      <t>Distal Femur Epiphysis</t>
    </r>
    <r>
      <rPr>
        <sz val="10"/>
        <rFont val="Arial"/>
        <family val="2"/>
      </rPr>
      <t xml:space="preserve"> (cancellous bone, 30 ± 0 slices = 360 ± 0µm)</t>
    </r>
  </si>
  <si>
    <t>Humerus Total</t>
  </si>
  <si>
    <r>
      <t>Midshaft Humerus</t>
    </r>
    <r>
      <rPr>
        <sz val="10"/>
        <rFont val="Arial"/>
        <family val="2"/>
      </rPr>
      <t xml:space="preserve"> (cortical bone, 20 slices = 240µm)</t>
    </r>
  </si>
  <si>
    <r>
      <t>Proximal Humerus Metaphysis</t>
    </r>
    <r>
      <rPr>
        <sz val="10"/>
        <color theme="1"/>
        <rFont val="Arial"/>
        <family val="2"/>
      </rPr>
      <t xml:space="preserve"> (cancellous bone, 30 slices = 360µm)</t>
    </r>
  </si>
  <si>
    <r>
      <t>Distal Humerus Epiphysis</t>
    </r>
    <r>
      <rPr>
        <sz val="10"/>
        <rFont val="Arial"/>
        <family val="2"/>
      </rPr>
      <t xml:space="preserve"> (cancellous bone, 39 ± 0 slices = 468 ± 0µm)</t>
    </r>
  </si>
  <si>
    <t>Temperature</t>
  </si>
  <si>
    <t>Group   #</t>
  </si>
  <si>
    <t>Mouse   #</t>
  </si>
  <si>
    <t>Body Wt (g)</t>
  </si>
  <si>
    <t>22C (72F)</t>
  </si>
  <si>
    <t>32C (90F)</t>
  </si>
  <si>
    <t>Femur BV (mm³)</t>
  </si>
  <si>
    <r>
      <t>Femur Cross Sectional Volume (mm</t>
    </r>
    <r>
      <rPr>
        <vertAlign val="superscript"/>
        <sz val="10"/>
        <color theme="1"/>
        <rFont val="Arial"/>
        <family val="2"/>
      </rPr>
      <t>3</t>
    </r>
    <r>
      <rPr>
        <sz val="10"/>
        <color theme="1"/>
        <rFont val="Arial"/>
        <family val="2"/>
      </rPr>
      <t>)</t>
    </r>
  </si>
  <si>
    <r>
      <t>Femur Cortical Volume (mm</t>
    </r>
    <r>
      <rPr>
        <vertAlign val="superscript"/>
        <sz val="10"/>
        <color theme="1"/>
        <rFont val="Arial"/>
        <family val="2"/>
      </rPr>
      <t>3</t>
    </r>
    <r>
      <rPr>
        <sz val="10"/>
        <color theme="1"/>
        <rFont val="Arial"/>
        <family val="2"/>
      </rPr>
      <t>)</t>
    </r>
  </si>
  <si>
    <r>
      <t>Femur Marrow Volume (mm</t>
    </r>
    <r>
      <rPr>
        <vertAlign val="superscript"/>
        <sz val="10"/>
        <color theme="1"/>
        <rFont val="Arial"/>
        <family val="2"/>
      </rPr>
      <t>3</t>
    </r>
    <r>
      <rPr>
        <sz val="10"/>
        <color theme="1"/>
        <rFont val="Arial"/>
        <family val="2"/>
      </rPr>
      <t>)</t>
    </r>
  </si>
  <si>
    <t>Femur Cortical Thickness (µm)</t>
  </si>
  <si>
    <r>
      <t>Femur pMOI (mm</t>
    </r>
    <r>
      <rPr>
        <vertAlign val="superscript"/>
        <sz val="10"/>
        <color theme="1"/>
        <rFont val="Arial"/>
        <family val="2"/>
      </rPr>
      <t>4</t>
    </r>
    <r>
      <rPr>
        <sz val="10"/>
        <color theme="1"/>
        <rFont val="Arial"/>
        <family val="2"/>
      </rPr>
      <t>)</t>
    </r>
  </si>
  <si>
    <t>Femur BV/TV (%)</t>
  </si>
  <si>
    <r>
      <t>Femur Conn-dens (1/(mm</t>
    </r>
    <r>
      <rPr>
        <vertAlign val="superscript"/>
        <sz val="10"/>
        <color theme="1"/>
        <rFont val="Arial"/>
        <family val="2"/>
      </rPr>
      <t>3</t>
    </r>
    <r>
      <rPr>
        <sz val="10"/>
        <color theme="1"/>
        <rFont val="Arial"/>
        <family val="2"/>
      </rPr>
      <t>)</t>
    </r>
  </si>
  <si>
    <t>Femur Tb.N (1/mm)</t>
  </si>
  <si>
    <t>Femur Tb.Th (µm)</t>
  </si>
  <si>
    <t>Femur Tb.Sp (µm)</t>
  </si>
  <si>
    <t>Femur Conn-Dens (1/mm³)</t>
  </si>
  <si>
    <t>Femur     Tb.N     (1/mm)</t>
  </si>
  <si>
    <t>Femur      Tb.Th     (µm)</t>
  </si>
  <si>
    <t>Femur     Tb.Sp     (µm)</t>
  </si>
  <si>
    <t>Humerus BV/TV (%)</t>
  </si>
  <si>
    <t>Humerus Conn-Dens. (1/mm³)</t>
  </si>
  <si>
    <t>Humerus Tb.N (1/mm)</t>
  </si>
  <si>
    <t>Humerus Tb.Th (µm)</t>
  </si>
  <si>
    <t>Humerus Tb.Sp (µm)</t>
  </si>
  <si>
    <t>Humerus  BV/TV  (%)</t>
  </si>
  <si>
    <r>
      <t>Humerus  Conn-Dens.  (1/mm</t>
    </r>
    <r>
      <rPr>
        <sz val="10"/>
        <color theme="1"/>
        <rFont val="Calibri"/>
        <family val="2"/>
      </rPr>
      <t>³)</t>
    </r>
  </si>
  <si>
    <t>Humerus  Tb.N  (1/mm)</t>
  </si>
  <si>
    <r>
      <t>Humerus Tb.Th  (</t>
    </r>
    <r>
      <rPr>
        <sz val="10"/>
        <color theme="1"/>
        <rFont val="Calibri"/>
        <family val="2"/>
      </rPr>
      <t>µm)</t>
    </r>
  </si>
  <si>
    <r>
      <t>Humerus  Tb.Sp  (</t>
    </r>
    <r>
      <rPr>
        <sz val="10"/>
        <color theme="1"/>
        <rFont val="Calibri"/>
        <family val="2"/>
      </rPr>
      <t>µm)</t>
    </r>
  </si>
  <si>
    <t>Distal end damaged</t>
  </si>
  <si>
    <t>Humerus Cross Sectional Volume (mm³)</t>
  </si>
  <si>
    <t>Humerus Cortical  Volume (mm³)</t>
  </si>
  <si>
    <t>Humerus Marrow Volume (mm³)</t>
  </si>
  <si>
    <t>Humerus Cortical Thickness (µm)</t>
  </si>
  <si>
    <t>Humerus  pMOI  (mm⁴)</t>
  </si>
  <si>
    <r>
      <t>Mid Diaphysis Femur</t>
    </r>
    <r>
      <rPr>
        <sz val="10"/>
        <rFont val="Arial"/>
        <family val="2"/>
      </rPr>
      <t xml:space="preserve"> (cortical bone, 20 slices = 240µm)</t>
    </r>
  </si>
  <si>
    <t>Humerus    BV    (mm³)</t>
  </si>
  <si>
    <t>Humerus   Scout View   Length   (mm)</t>
  </si>
  <si>
    <t>Uterine weight (g)</t>
  </si>
  <si>
    <t>Uterus Wt (g)</t>
  </si>
  <si>
    <t>Uterus not weighed</t>
  </si>
  <si>
    <t>Femur Scout View Length (mm)</t>
  </si>
  <si>
    <r>
      <t xml:space="preserve">19-675_Wong_HU; 22°C versus 32°C:  </t>
    </r>
    <r>
      <rPr>
        <b/>
        <sz val="10"/>
        <rFont val="Arial"/>
        <family val="2"/>
      </rPr>
      <t>Wong CP, Branscum AJ, Fichter AR, Sargent J, Iwaniec UT, Turner RT. Cold stress during room temperature housing alters skeletal response to simulated microgravity (hindlimb unloading) in growing female C57BL6 mice. Biochimie. 2023 Jul;210:61-70. doi: 10.1016/j.biochi.2022.12.009. Epub 2022 Dec 28. PMID: 36584865.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</si>
</sst>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00"/>
  </numFmts>
  <fonts count="21" x14ac:knownFonts="1">
    <font>
      <sz val="10"/>
      <name val="Verdana"/>
    </font>
    <font>
      <sz val="11"/>
      <color theme="1"/>
      <name val="Calibri"/>
      <family val="2"/>
      <scheme val="minor"/>
    </font>
    <font>
      <sz val="8"/>
      <name val="Verdana"/>
      <family val="2"/>
    </font>
    <font>
      <sz val="10"/>
      <name val="Arial"/>
      <family val="2"/>
    </font>
    <font>
      <u/>
      <sz val="10"/>
      <color theme="10"/>
      <name val="Verdana"/>
      <family val="2"/>
    </font>
    <font>
      <u/>
      <sz val="10"/>
      <color theme="11"/>
      <name val="Verdana"/>
      <family val="2"/>
    </font>
    <font>
      <sz val="10"/>
      <name val="Arial"/>
      <family val="2"/>
    </font>
    <font>
      <sz val="10"/>
      <name val="Arial"/>
      <family val="2"/>
    </font>
    <font>
      <sz val="10"/>
      <name val="Verdana"/>
      <family val="2"/>
    </font>
    <font>
      <sz val="10"/>
      <color theme="1"/>
      <name val="Arial"/>
      <family val="2"/>
    </font>
    <font>
      <sz val="12"/>
      <color theme="1"/>
      <name val="Calibri"/>
      <family val="2"/>
      <scheme val="minor"/>
    </font>
    <font>
      <sz val="10"/>
      <color theme="1"/>
      <name val="Calibri"/>
      <family val="2"/>
    </font>
    <font>
      <vertAlign val="superscript"/>
      <sz val="10"/>
      <color theme="1"/>
      <name val="Arial"/>
      <family val="2"/>
    </font>
    <font>
      <sz val="10"/>
      <name val="Arial"/>
      <family val="2"/>
    </font>
    <font>
      <i/>
      <sz val="10"/>
      <color theme="1"/>
      <name val="Arial"/>
      <family val="2"/>
    </font>
    <font>
      <b/>
      <sz val="10"/>
      <name val="Arial"/>
      <family val="2"/>
    </font>
    <font>
      <i/>
      <sz val="10"/>
      <name val="Arial"/>
      <family val="2"/>
    </font>
    <font>
      <b/>
      <u/>
      <sz val="10"/>
      <name val="Arial"/>
      <family val="2"/>
    </font>
    <font>
      <u/>
      <sz val="10"/>
      <name val="Arial"/>
      <family val="2"/>
    </font>
    <font>
      <vertAlign val="subscript"/>
      <sz val="10"/>
      <name val="Arial"/>
      <family val="2"/>
    </font>
    <font>
      <b/>
      <sz val="10"/>
      <color theme="1"/>
      <name val="Arial"/>
      <family val="2"/>
    </font>
  </fonts>
  <fills count="2">
    <fill>
      <patternFill patternType="none"/>
    </fill>
    <fill>
      <patternFill patternType="gray125"/>
    </fill>
  </fills>
  <borders count="4">
    <border>
      <left/>
      <right/>
      <top/>
      <bottom/>
      <diagonal/>
    </border>
    <border>
      <left/>
      <right/>
      <top/>
      <bottom style="thin">
        <color auto="1"/>
      </bottom>
      <diagonal/>
    </border>
    <border>
      <left/>
      <right/>
      <top style="thin">
        <color auto="1"/>
      </top>
      <bottom style="thin">
        <color auto="1"/>
      </bottom>
      <diagonal/>
    </border>
    <border>
      <left/>
      <right/>
      <top style="thin">
        <color indexed="64"/>
      </top>
      <bottom/>
      <diagonal/>
    </border>
  </borders>
  <cellStyleXfs count="188">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0" borderId="0"/>
    <xf numFmtId="0" fontId="7" fillId="0" borderId="0"/>
    <xf numFmtId="0" fontId="3" fillId="0" borderId="0"/>
    <xf numFmtId="43" fontId="3" fillId="0" borderId="0" applyFont="0" applyFill="0" applyBorder="0" applyAlignment="0" applyProtection="0"/>
    <xf numFmtId="0" fontId="8" fillId="0" borderId="0"/>
    <xf numFmtId="0" fontId="8" fillId="0" borderId="0"/>
    <xf numFmtId="0" fontId="3" fillId="0" borderId="0"/>
    <xf numFmtId="0" fontId="8" fillId="0" borderId="0"/>
    <xf numFmtId="0" fontId="10" fillId="0" borderId="0"/>
    <xf numFmtId="0" fontId="3" fillId="0" borderId="0"/>
    <xf numFmtId="0" fontId="1" fillId="0" borderId="0"/>
    <xf numFmtId="0" fontId="8" fillId="0" borderId="0"/>
    <xf numFmtId="0" fontId="13" fillId="0" borderId="0"/>
  </cellStyleXfs>
  <cellXfs count="135">
    <xf numFmtId="0" fontId="0" fillId="0" borderId="0" xfId="0"/>
    <xf numFmtId="2" fontId="9" fillId="0" borderId="1" xfId="0" applyNumberFormat="1" applyFont="1" applyFill="1" applyBorder="1" applyAlignment="1">
      <alignment horizontal="center" wrapText="1"/>
    </xf>
    <xf numFmtId="1" fontId="9" fillId="0" borderId="1" xfId="0" applyNumberFormat="1" applyFont="1" applyFill="1" applyBorder="1" applyAlignment="1">
      <alignment horizontal="center" wrapText="1"/>
    </xf>
    <xf numFmtId="2" fontId="9" fillId="0" borderId="0" xfId="0" applyNumberFormat="1" applyFont="1" applyFill="1" applyBorder="1" applyAlignment="1">
      <alignment horizontal="center"/>
    </xf>
    <xf numFmtId="1" fontId="9" fillId="0" borderId="0" xfId="0" applyNumberFormat="1" applyFont="1" applyFill="1" applyBorder="1" applyAlignment="1">
      <alignment horizontal="center"/>
    </xf>
    <xf numFmtId="164" fontId="9" fillId="0" borderId="0" xfId="0" applyNumberFormat="1" applyFont="1" applyFill="1" applyBorder="1" applyAlignment="1">
      <alignment horizontal="center"/>
    </xf>
    <xf numFmtId="2" fontId="9" fillId="0" borderId="1" xfId="0" applyNumberFormat="1" applyFont="1" applyBorder="1" applyAlignment="1">
      <alignment horizontal="center" wrapText="1"/>
    </xf>
    <xf numFmtId="0" fontId="9" fillId="0" borderId="0" xfId="0" applyFont="1" applyBorder="1" applyAlignment="1">
      <alignment horizontal="center"/>
    </xf>
    <xf numFmtId="2" fontId="9" fillId="0" borderId="0" xfId="0" applyNumberFormat="1" applyFont="1" applyBorder="1" applyAlignment="1">
      <alignment horizontal="center"/>
    </xf>
    <xf numFmtId="1" fontId="9" fillId="0" borderId="0" xfId="0" applyNumberFormat="1" applyFont="1" applyBorder="1" applyAlignment="1">
      <alignment horizontal="center"/>
    </xf>
    <xf numFmtId="0" fontId="9" fillId="0" borderId="1" xfId="0" applyFont="1" applyBorder="1" applyAlignment="1">
      <alignment horizontal="center"/>
    </xf>
    <xf numFmtId="2" fontId="9" fillId="0" borderId="1" xfId="0" applyNumberFormat="1" applyFont="1" applyBorder="1" applyAlignment="1">
      <alignment horizontal="center"/>
    </xf>
    <xf numFmtId="0" fontId="9" fillId="0" borderId="0" xfId="0" applyFont="1" applyAlignment="1">
      <alignment horizontal="center"/>
    </xf>
    <xf numFmtId="164" fontId="9" fillId="0" borderId="0" xfId="0" applyNumberFormat="1" applyFont="1" applyBorder="1" applyAlignment="1">
      <alignment horizontal="center"/>
    </xf>
    <xf numFmtId="164" fontId="9" fillId="0" borderId="1" xfId="0" applyNumberFormat="1" applyFont="1" applyBorder="1" applyAlignment="1">
      <alignment horizontal="center"/>
    </xf>
    <xf numFmtId="0" fontId="9" fillId="0" borderId="0" xfId="0" applyFont="1" applyBorder="1" applyAlignment="1">
      <alignment horizontal="center" wrapText="1"/>
    </xf>
    <xf numFmtId="164" fontId="3" fillId="0" borderId="0" xfId="0" applyNumberFormat="1" applyFont="1" applyBorder="1" applyAlignment="1">
      <alignment horizontal="center"/>
    </xf>
    <xf numFmtId="164" fontId="9" fillId="0" borderId="1" xfId="0" applyNumberFormat="1" applyFont="1" applyBorder="1" applyAlignment="1">
      <alignment horizontal="center" wrapText="1"/>
    </xf>
    <xf numFmtId="1" fontId="9" fillId="0" borderId="1" xfId="0" applyNumberFormat="1" applyFont="1" applyBorder="1" applyAlignment="1">
      <alignment horizontal="center" wrapText="1"/>
    </xf>
    <xf numFmtId="2" fontId="9" fillId="0" borderId="0" xfId="0" applyNumberFormat="1" applyFont="1" applyAlignment="1">
      <alignment horizontal="center"/>
    </xf>
    <xf numFmtId="165" fontId="9" fillId="0" borderId="1" xfId="0" applyNumberFormat="1" applyFont="1" applyBorder="1" applyAlignment="1">
      <alignment horizontal="center" wrapText="1"/>
    </xf>
    <xf numFmtId="165" fontId="9" fillId="0" borderId="0" xfId="0" applyNumberFormat="1" applyFont="1" applyBorder="1" applyAlignment="1">
      <alignment horizontal="center"/>
    </xf>
    <xf numFmtId="165" fontId="9" fillId="0" borderId="0" xfId="0" applyNumberFormat="1" applyFont="1" applyFill="1" applyBorder="1" applyAlignment="1">
      <alignment horizontal="center"/>
    </xf>
    <xf numFmtId="0" fontId="9" fillId="0" borderId="1" xfId="0" applyFont="1" applyFill="1" applyBorder="1" applyAlignment="1">
      <alignment horizontal="center" wrapText="1"/>
    </xf>
    <xf numFmtId="0" fontId="9" fillId="0" borderId="0" xfId="0" applyFont="1" applyFill="1" applyAlignment="1">
      <alignment horizontal="center"/>
    </xf>
    <xf numFmtId="164" fontId="9" fillId="0" borderId="1" xfId="0" applyNumberFormat="1" applyFont="1" applyFill="1" applyBorder="1" applyAlignment="1">
      <alignment horizontal="center"/>
    </xf>
    <xf numFmtId="0" fontId="9" fillId="0" borderId="0" xfId="0" applyFont="1" applyFill="1" applyBorder="1" applyAlignment="1">
      <alignment horizontal="center"/>
    </xf>
    <xf numFmtId="165" fontId="9" fillId="0" borderId="1" xfId="0" applyNumberFormat="1" applyFont="1" applyFill="1" applyBorder="1" applyAlignment="1">
      <alignment horizontal="center" wrapText="1"/>
    </xf>
    <xf numFmtId="0" fontId="9" fillId="0" borderId="1" xfId="0" applyFont="1" applyBorder="1" applyAlignment="1">
      <alignment horizontal="center" wrapText="1"/>
    </xf>
    <xf numFmtId="164" fontId="9" fillId="0" borderId="0" xfId="0" applyNumberFormat="1" applyFont="1" applyAlignment="1">
      <alignment horizontal="center"/>
    </xf>
    <xf numFmtId="0" fontId="15" fillId="0" borderId="0" xfId="182" applyFont="1" applyFill="1" applyBorder="1"/>
    <xf numFmtId="0" fontId="3" fillId="0" borderId="0" xfId="182" applyFont="1" applyBorder="1"/>
    <xf numFmtId="0" fontId="3" fillId="0" borderId="0" xfId="182" applyFont="1" applyBorder="1" applyAlignment="1">
      <alignment wrapText="1"/>
    </xf>
    <xf numFmtId="0" fontId="9" fillId="0" borderId="0" xfId="0" applyFont="1" applyBorder="1" applyAlignment="1">
      <alignment wrapText="1"/>
    </xf>
    <xf numFmtId="1" fontId="3" fillId="0" borderId="0" xfId="182" applyNumberFormat="1" applyFont="1" applyBorder="1" applyAlignment="1">
      <alignment horizontal="center" wrapText="1"/>
    </xf>
    <xf numFmtId="1" fontId="3" fillId="0" borderId="0" xfId="182" applyNumberFormat="1" applyFont="1" applyFill="1" applyBorder="1" applyAlignment="1">
      <alignment horizontal="center"/>
    </xf>
    <xf numFmtId="0" fontId="3" fillId="0" borderId="1" xfId="182" applyFont="1" applyBorder="1"/>
    <xf numFmtId="0" fontId="15" fillId="0" borderId="1" xfId="182" applyFont="1" applyBorder="1"/>
    <xf numFmtId="0" fontId="15" fillId="0" borderId="0" xfId="182" applyFont="1" applyBorder="1"/>
    <xf numFmtId="2" fontId="3" fillId="0" borderId="0" xfId="182" applyNumberFormat="1" applyFont="1" applyBorder="1" applyAlignment="1">
      <alignment horizontal="center" wrapText="1"/>
    </xf>
    <xf numFmtId="2" fontId="3" fillId="0" borderId="0" xfId="182" applyNumberFormat="1" applyFont="1" applyBorder="1" applyAlignment="1">
      <alignment horizontal="left" wrapText="1"/>
    </xf>
    <xf numFmtId="1" fontId="3" fillId="0" borderId="0" xfId="182" applyNumberFormat="1" applyFont="1" applyBorder="1" applyAlignment="1">
      <alignment horizontal="center"/>
    </xf>
    <xf numFmtId="1" fontId="3" fillId="0" borderId="0" xfId="182" applyNumberFormat="1" applyFont="1" applyBorder="1"/>
    <xf numFmtId="1" fontId="3" fillId="0" borderId="0" xfId="182" applyNumberFormat="1" applyFont="1" applyFill="1" applyBorder="1" applyAlignment="1">
      <alignment horizontal="right"/>
    </xf>
    <xf numFmtId="1" fontId="3" fillId="0" borderId="0" xfId="182" applyNumberFormat="1" applyFont="1" applyBorder="1" applyAlignment="1">
      <alignment horizontal="right"/>
    </xf>
    <xf numFmtId="1" fontId="3" fillId="0" borderId="0" xfId="182" applyNumberFormat="1" applyFont="1" applyBorder="1" applyAlignment="1">
      <alignment horizontal="left" wrapText="1"/>
    </xf>
    <xf numFmtId="164" fontId="3" fillId="0" borderId="0" xfId="182" applyNumberFormat="1" applyFont="1" applyBorder="1" applyAlignment="1">
      <alignment horizontal="left"/>
    </xf>
    <xf numFmtId="164" fontId="3" fillId="0" borderId="0" xfId="182" applyNumberFormat="1" applyFont="1" applyBorder="1" applyAlignment="1">
      <alignment horizontal="right"/>
    </xf>
    <xf numFmtId="2" fontId="3" fillId="0" borderId="0" xfId="182" applyNumberFormat="1" applyFont="1" applyBorder="1" applyAlignment="1">
      <alignment horizontal="left"/>
    </xf>
    <xf numFmtId="2" fontId="3" fillId="0" borderId="0" xfId="182" applyNumberFormat="1" applyFont="1" applyBorder="1" applyAlignment="1">
      <alignment horizontal="right"/>
    </xf>
    <xf numFmtId="0" fontId="3" fillId="0" borderId="0" xfId="182" applyFont="1" applyBorder="1" applyAlignment="1">
      <alignment horizontal="center"/>
    </xf>
    <xf numFmtId="0" fontId="3" fillId="0" borderId="0" xfId="179" applyFont="1" applyBorder="1"/>
    <xf numFmtId="0" fontId="3" fillId="0" borderId="0" xfId="182" applyFont="1" applyBorder="1" applyAlignment="1">
      <alignment horizontal="left"/>
    </xf>
    <xf numFmtId="1" fontId="3" fillId="0" borderId="0" xfId="182" applyNumberFormat="1" applyFont="1" applyBorder="1" applyAlignment="1">
      <alignment horizontal="left"/>
    </xf>
    <xf numFmtId="2" fontId="9" fillId="0" borderId="0" xfId="182" applyNumberFormat="1" applyFont="1" applyFill="1" applyBorder="1" applyAlignment="1">
      <alignment horizontal="right"/>
    </xf>
    <xf numFmtId="165" fontId="9" fillId="0" borderId="0" xfId="182" applyNumberFormat="1" applyFont="1" applyFill="1" applyBorder="1" applyAlignment="1">
      <alignment horizontal="right"/>
    </xf>
    <xf numFmtId="165" fontId="9" fillId="0" borderId="0" xfId="182" applyNumberFormat="1" applyFont="1" applyFill="1" applyBorder="1" applyAlignment="1">
      <alignment horizontal="left"/>
    </xf>
    <xf numFmtId="164" fontId="17" fillId="0" borderId="0" xfId="182" applyNumberFormat="1" applyFont="1" applyBorder="1" applyAlignment="1"/>
    <xf numFmtId="0" fontId="18" fillId="0" borderId="0" xfId="182" applyFont="1" applyAlignment="1"/>
    <xf numFmtId="0" fontId="18" fillId="0" borderId="0" xfId="182" applyFont="1" applyAlignment="1">
      <alignment horizontal="center"/>
    </xf>
    <xf numFmtId="0" fontId="15" fillId="0" borderId="0" xfId="179" applyFont="1" applyBorder="1"/>
    <xf numFmtId="2" fontId="3" fillId="0" borderId="0" xfId="0" applyNumberFormat="1" applyFont="1" applyBorder="1" applyAlignment="1">
      <alignment horizontal="center"/>
    </xf>
    <xf numFmtId="0" fontId="15" fillId="0" borderId="0" xfId="184" applyFont="1" applyBorder="1"/>
    <xf numFmtId="0" fontId="3" fillId="0" borderId="0" xfId="184" applyFont="1" applyBorder="1"/>
    <xf numFmtId="0" fontId="3" fillId="0" borderId="0" xfId="184" applyFont="1"/>
    <xf numFmtId="0" fontId="3" fillId="0" borderId="0" xfId="184" applyFont="1" applyAlignment="1">
      <alignment horizontal="left"/>
    </xf>
    <xf numFmtId="1" fontId="16" fillId="0" borderId="0" xfId="0" applyNumberFormat="1" applyFont="1" applyBorder="1" applyAlignment="1">
      <alignment horizontal="center"/>
    </xf>
    <xf numFmtId="0" fontId="3" fillId="0" borderId="0" xfId="184" applyFont="1" applyFill="1" applyBorder="1"/>
    <xf numFmtId="165" fontId="3" fillId="0" borderId="0" xfId="184" applyNumberFormat="1" applyFont="1" applyBorder="1" applyAlignment="1">
      <alignment wrapText="1"/>
    </xf>
    <xf numFmtId="0" fontId="3" fillId="0" borderId="0" xfId="184" applyFont="1" applyFill="1" applyBorder="1" applyAlignment="1">
      <alignment horizontal="left"/>
    </xf>
    <xf numFmtId="2" fontId="3" fillId="0" borderId="0" xfId="184" applyNumberFormat="1" applyFont="1"/>
    <xf numFmtId="2" fontId="3" fillId="0" borderId="0" xfId="184" applyNumberFormat="1" applyFont="1" applyFill="1" applyBorder="1" applyAlignment="1">
      <alignment horizontal="left"/>
    </xf>
    <xf numFmtId="0" fontId="3" fillId="0" borderId="0" xfId="179" applyFont="1" applyFill="1" applyBorder="1"/>
    <xf numFmtId="2" fontId="3" fillId="0" borderId="0" xfId="182" applyNumberFormat="1" applyFont="1" applyFill="1" applyBorder="1" applyAlignment="1">
      <alignment horizontal="right"/>
    </xf>
    <xf numFmtId="2" fontId="3" fillId="0" borderId="0" xfId="0" applyNumberFormat="1" applyFont="1" applyFill="1" applyBorder="1" applyAlignment="1">
      <alignment horizontal="center"/>
    </xf>
    <xf numFmtId="2" fontId="3" fillId="0" borderId="0" xfId="182" applyNumberFormat="1" applyFont="1" applyFill="1" applyBorder="1" applyAlignment="1">
      <alignment horizontal="left"/>
    </xf>
    <xf numFmtId="164" fontId="9" fillId="0" borderId="0" xfId="182" applyNumberFormat="1" applyFont="1" applyFill="1" applyBorder="1" applyAlignment="1">
      <alignment horizontal="right"/>
    </xf>
    <xf numFmtId="164" fontId="9" fillId="0" borderId="0" xfId="182" applyNumberFormat="1" applyFont="1" applyFill="1" applyBorder="1" applyAlignment="1">
      <alignment horizontal="left"/>
    </xf>
    <xf numFmtId="0" fontId="3" fillId="0" borderId="0" xfId="182" applyFont="1" applyFill="1" applyBorder="1"/>
    <xf numFmtId="2" fontId="3" fillId="0" borderId="0" xfId="182" applyNumberFormat="1" applyFont="1" applyFill="1" applyBorder="1" applyAlignment="1">
      <alignment horizontal="center" wrapText="1"/>
    </xf>
    <xf numFmtId="2" fontId="3" fillId="0" borderId="0" xfId="182" applyNumberFormat="1" applyFont="1" applyFill="1" applyBorder="1" applyAlignment="1">
      <alignment horizontal="left" wrapText="1"/>
    </xf>
    <xf numFmtId="0" fontId="15" fillId="0" borderId="0" xfId="184" applyFont="1" applyFill="1" applyBorder="1"/>
    <xf numFmtId="1" fontId="3" fillId="0" borderId="0" xfId="182" applyNumberFormat="1" applyFont="1" applyFill="1" applyBorder="1" applyAlignment="1">
      <alignment horizontal="left"/>
    </xf>
    <xf numFmtId="0" fontId="3" fillId="0" borderId="0" xfId="184" applyFont="1" applyFill="1"/>
    <xf numFmtId="0" fontId="3" fillId="0" borderId="0" xfId="184" applyFont="1" applyFill="1" applyAlignment="1">
      <alignment horizontal="left"/>
    </xf>
    <xf numFmtId="1" fontId="16" fillId="0" borderId="0" xfId="0" applyNumberFormat="1" applyFont="1" applyFill="1" applyBorder="1" applyAlignment="1">
      <alignment horizontal="center"/>
    </xf>
    <xf numFmtId="165" fontId="3" fillId="0" borderId="0" xfId="184" applyNumberFormat="1" applyFont="1" applyFill="1" applyBorder="1" applyAlignment="1">
      <alignment wrapText="1"/>
    </xf>
    <xf numFmtId="2" fontId="3" fillId="0" borderId="0" xfId="184" applyNumberFormat="1" applyFont="1" applyFill="1"/>
    <xf numFmtId="165" fontId="14" fillId="0" borderId="0" xfId="0" applyNumberFormat="1" applyFont="1" applyFill="1" applyBorder="1" applyAlignment="1">
      <alignment horizontal="center"/>
    </xf>
    <xf numFmtId="1" fontId="9" fillId="0" borderId="0" xfId="182" applyNumberFormat="1" applyFont="1" applyFill="1" applyBorder="1" applyAlignment="1">
      <alignment horizontal="right"/>
    </xf>
    <xf numFmtId="1" fontId="14" fillId="0" borderId="0" xfId="0" applyNumberFormat="1" applyFont="1" applyFill="1" applyBorder="1" applyAlignment="1">
      <alignment horizontal="center"/>
    </xf>
    <xf numFmtId="1" fontId="9" fillId="0" borderId="0" xfId="182" applyNumberFormat="1" applyFont="1" applyFill="1" applyBorder="1" applyAlignment="1">
      <alignment horizontal="left"/>
    </xf>
    <xf numFmtId="0" fontId="20" fillId="0" borderId="0" xfId="184" applyFont="1" applyFill="1" applyBorder="1"/>
    <xf numFmtId="2" fontId="9" fillId="0" borderId="0" xfId="182" applyNumberFormat="1" applyFont="1" applyFill="1" applyBorder="1" applyAlignment="1">
      <alignment horizontal="left"/>
    </xf>
    <xf numFmtId="2" fontId="14" fillId="0" borderId="0" xfId="0" applyNumberFormat="1" applyFont="1" applyFill="1" applyBorder="1" applyAlignment="1">
      <alignment horizontal="center"/>
    </xf>
    <xf numFmtId="2" fontId="16" fillId="0" borderId="0" xfId="0" applyNumberFormat="1" applyFont="1" applyBorder="1" applyAlignment="1">
      <alignment horizontal="center"/>
    </xf>
    <xf numFmtId="0" fontId="3" fillId="0" borderId="1" xfId="184" applyFont="1" applyBorder="1"/>
    <xf numFmtId="0" fontId="3" fillId="0" borderId="1" xfId="184" applyFont="1" applyFill="1" applyBorder="1" applyAlignment="1">
      <alignment horizontal="left"/>
    </xf>
    <xf numFmtId="2" fontId="3" fillId="0" borderId="1" xfId="182" applyNumberFormat="1" applyFont="1" applyBorder="1" applyAlignment="1">
      <alignment horizontal="right"/>
    </xf>
    <xf numFmtId="1" fontId="16" fillId="0" borderId="1" xfId="0" applyNumberFormat="1" applyFont="1" applyBorder="1" applyAlignment="1">
      <alignment horizontal="center"/>
    </xf>
    <xf numFmtId="2" fontId="3" fillId="0" borderId="1" xfId="182" applyNumberFormat="1" applyFont="1" applyBorder="1" applyAlignment="1">
      <alignment horizontal="left"/>
    </xf>
    <xf numFmtId="0" fontId="3" fillId="0" borderId="0" xfId="176" applyFont="1"/>
    <xf numFmtId="0" fontId="9" fillId="0" borderId="0" xfId="0" applyFont="1" applyAlignment="1">
      <alignment horizontal="center" wrapText="1"/>
    </xf>
    <xf numFmtId="165" fontId="9" fillId="0" borderId="0" xfId="0" applyNumberFormat="1" applyFont="1" applyAlignment="1">
      <alignment horizontal="center"/>
    </xf>
    <xf numFmtId="165" fontId="9" fillId="0" borderId="1" xfId="0" applyNumberFormat="1" applyFont="1" applyBorder="1" applyAlignment="1">
      <alignment horizontal="center"/>
    </xf>
    <xf numFmtId="0" fontId="9" fillId="0" borderId="3" xfId="0" applyFont="1" applyBorder="1" applyAlignment="1">
      <alignment horizontal="center"/>
    </xf>
    <xf numFmtId="0" fontId="9" fillId="0" borderId="1" xfId="0" applyFont="1" applyFill="1" applyBorder="1" applyAlignment="1">
      <alignment horizontal="center"/>
    </xf>
    <xf numFmtId="0" fontId="9" fillId="0" borderId="0" xfId="0" applyFont="1" applyFill="1" applyBorder="1" applyAlignment="1">
      <alignment horizontal="center" wrapText="1"/>
    </xf>
    <xf numFmtId="0" fontId="9" fillId="0" borderId="0" xfId="0" applyFont="1" applyFill="1" applyBorder="1" applyAlignment="1">
      <alignment horizontal="left"/>
    </xf>
    <xf numFmtId="164" fontId="9" fillId="0" borderId="0" xfId="0" applyNumberFormat="1" applyFont="1" applyFill="1" applyAlignment="1">
      <alignment horizontal="center"/>
    </xf>
    <xf numFmtId="164" fontId="9" fillId="0" borderId="0" xfId="0" applyNumberFormat="1" applyFont="1" applyFill="1" applyAlignment="1">
      <alignment horizontal="center" wrapText="1"/>
    </xf>
    <xf numFmtId="2" fontId="9" fillId="0" borderId="0" xfId="0" applyNumberFormat="1" applyFont="1" applyFill="1" applyAlignment="1">
      <alignment horizontal="center" wrapText="1"/>
    </xf>
    <xf numFmtId="0" fontId="9" fillId="0" borderId="0" xfId="0" applyFont="1" applyFill="1" applyAlignment="1">
      <alignment horizontal="center" wrapText="1"/>
    </xf>
    <xf numFmtId="2" fontId="9" fillId="0" borderId="0" xfId="0" applyNumberFormat="1" applyFont="1" applyFill="1" applyAlignment="1">
      <alignment horizontal="center"/>
    </xf>
    <xf numFmtId="164" fontId="9" fillId="0" borderId="0" xfId="0" applyNumberFormat="1" applyFont="1" applyFill="1" applyAlignment="1">
      <alignment horizontal="left"/>
    </xf>
    <xf numFmtId="0" fontId="9" fillId="0" borderId="1" xfId="0" applyFont="1" applyBorder="1" applyAlignment="1">
      <alignment horizontal="center" wrapText="1"/>
    </xf>
    <xf numFmtId="164" fontId="9" fillId="0" borderId="1" xfId="0" applyNumberFormat="1" applyFont="1" applyFill="1" applyBorder="1" applyAlignment="1">
      <alignment horizontal="center" wrapText="1"/>
    </xf>
    <xf numFmtId="165" fontId="9" fillId="0" borderId="0" xfId="0" applyNumberFormat="1" applyFont="1" applyFill="1" applyAlignment="1">
      <alignment horizontal="center"/>
    </xf>
    <xf numFmtId="165" fontId="9" fillId="0" borderId="1" xfId="0" applyNumberFormat="1" applyFont="1" applyFill="1" applyBorder="1" applyAlignment="1">
      <alignment horizontal="center"/>
    </xf>
    <xf numFmtId="0" fontId="9" fillId="0" borderId="0" xfId="0" applyFont="1" applyFill="1" applyAlignment="1">
      <alignment horizontal="left"/>
    </xf>
    <xf numFmtId="164" fontId="3" fillId="0" borderId="0" xfId="182" applyNumberFormat="1" applyFont="1" applyFill="1" applyBorder="1" applyAlignment="1">
      <alignment horizontal="right" wrapText="1"/>
    </xf>
    <xf numFmtId="164" fontId="3" fillId="0" borderId="0" xfId="182" applyNumberFormat="1" applyFont="1" applyFill="1" applyBorder="1" applyAlignment="1">
      <alignment horizontal="center"/>
    </xf>
    <xf numFmtId="164" fontId="3" fillId="0" borderId="0" xfId="182" applyNumberFormat="1" applyFont="1" applyFill="1" applyBorder="1" applyAlignment="1">
      <alignment horizontal="left"/>
    </xf>
    <xf numFmtId="164" fontId="3" fillId="0" borderId="0" xfId="182" applyNumberFormat="1" applyFont="1" applyFill="1" applyBorder="1" applyAlignment="1">
      <alignment horizontal="right"/>
    </xf>
    <xf numFmtId="165" fontId="3" fillId="0" borderId="0" xfId="182" applyNumberFormat="1" applyFont="1" applyFill="1" applyBorder="1" applyAlignment="1">
      <alignment horizontal="right" wrapText="1"/>
    </xf>
    <xf numFmtId="165" fontId="3" fillId="0" borderId="0" xfId="182" applyNumberFormat="1" applyFont="1" applyFill="1" applyBorder="1" applyAlignment="1">
      <alignment horizontal="center"/>
    </xf>
    <xf numFmtId="165" fontId="3" fillId="0" borderId="0" xfId="182" applyNumberFormat="1" applyFont="1" applyFill="1" applyBorder="1" applyAlignment="1">
      <alignment horizontal="left"/>
    </xf>
    <xf numFmtId="165" fontId="3" fillId="0" borderId="0" xfId="182" applyNumberFormat="1" applyFont="1" applyFill="1" applyBorder="1" applyAlignment="1">
      <alignment horizontal="right"/>
    </xf>
    <xf numFmtId="0" fontId="9" fillId="0" borderId="1" xfId="0" applyFont="1" applyFill="1" applyBorder="1" applyAlignment="1">
      <alignment horizontal="left"/>
    </xf>
    <xf numFmtId="0" fontId="9" fillId="0" borderId="3" xfId="0" applyFont="1" applyFill="1" applyBorder="1" applyAlignment="1">
      <alignment horizontal="center"/>
    </xf>
    <xf numFmtId="0" fontId="9" fillId="0" borderId="1" xfId="0" applyFont="1" applyBorder="1" applyAlignment="1">
      <alignment horizontal="center" wrapText="1"/>
    </xf>
    <xf numFmtId="0" fontId="3" fillId="0" borderId="1" xfId="182" applyFont="1" applyBorder="1" applyAlignment="1">
      <alignment wrapText="1"/>
    </xf>
    <xf numFmtId="0" fontId="3" fillId="0" borderId="1" xfId="0" applyFont="1" applyBorder="1" applyAlignment="1">
      <alignment wrapText="1"/>
    </xf>
    <xf numFmtId="2" fontId="3" fillId="0" borderId="1" xfId="182" applyNumberFormat="1" applyFont="1" applyBorder="1" applyAlignment="1">
      <alignment horizontal="center" wrapText="1"/>
    </xf>
    <xf numFmtId="2" fontId="3" fillId="0" borderId="2" xfId="182" applyNumberFormat="1" applyFont="1" applyBorder="1" applyAlignment="1">
      <alignment horizontal="center" wrapText="1"/>
    </xf>
  </cellXfs>
  <cellStyles count="188">
    <cellStyle name="Comma 2" xfId="178" xr:uid="{00000000-0005-0000-0000-00000000000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70" builtinId="9" hidden="1"/>
    <cellStyle name="Followed Hyperlink" xfId="172" builtinId="9" hidden="1"/>
    <cellStyle name="Followed Hyperlink" xfId="17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9" builtinId="8" hidden="1"/>
    <cellStyle name="Hyperlink" xfId="171" builtinId="8" hidden="1"/>
    <cellStyle name="Hyperlink" xfId="173" builtinId="8" hidden="1"/>
    <cellStyle name="Normal" xfId="0" builtinId="0"/>
    <cellStyle name="Normal 10" xfId="183" xr:uid="{00000000-0005-0000-0000-0000AA000000}"/>
    <cellStyle name="Normal 15" xfId="177" xr:uid="{00000000-0005-0000-0000-0000AB000000}"/>
    <cellStyle name="Normal 2" xfId="163" xr:uid="{00000000-0005-0000-0000-0000AC000000}"/>
    <cellStyle name="Normal 2 2" xfId="164" xr:uid="{00000000-0005-0000-0000-0000AD000000}"/>
    <cellStyle name="Normal 2 3" xfId="165" xr:uid="{00000000-0005-0000-0000-0000AE000000}"/>
    <cellStyle name="Normal 2 4" xfId="166" xr:uid="{00000000-0005-0000-0000-0000AF000000}"/>
    <cellStyle name="Normal 2 5" xfId="185" xr:uid="{00000000-0005-0000-0000-0000B0000000}"/>
    <cellStyle name="Normal 3" xfId="167" xr:uid="{00000000-0005-0000-0000-0000B1000000}"/>
    <cellStyle name="Normal 3 2" xfId="181" xr:uid="{00000000-0005-0000-0000-0000B2000000}"/>
    <cellStyle name="Normal 3 3" xfId="182" xr:uid="{00000000-0005-0000-0000-0000B3000000}"/>
    <cellStyle name="Normal 4" xfId="175" xr:uid="{00000000-0005-0000-0000-0000B4000000}"/>
    <cellStyle name="Normal 4 2" xfId="184" xr:uid="{00000000-0005-0000-0000-0000B5000000}"/>
    <cellStyle name="Normal 5" xfId="176" xr:uid="{00000000-0005-0000-0000-0000B6000000}"/>
    <cellStyle name="Normal 6" xfId="168" xr:uid="{00000000-0005-0000-0000-0000B7000000}"/>
    <cellStyle name="Normal 7" xfId="179" xr:uid="{00000000-0005-0000-0000-0000B8000000}"/>
    <cellStyle name="Normal 8" xfId="180" xr:uid="{00000000-0005-0000-0000-0000B9000000}"/>
    <cellStyle name="Normal 8 2" xfId="186" xr:uid="{00000000-0005-0000-0000-0000BA000000}"/>
    <cellStyle name="Normal 9" xfId="187" xr:uid="{C4494427-AC1B-4FD9-8771-EA689CE5CCA6}"/>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62"/>
  <sheetViews>
    <sheetView tabSelected="1" zoomScaleNormal="100" workbookViewId="0">
      <selection activeCell="X9" sqref="X9"/>
    </sheetView>
  </sheetViews>
  <sheetFormatPr defaultColWidth="10.625" defaultRowHeight="12.75" x14ac:dyDescent="0.2"/>
  <cols>
    <col min="1" max="1" width="3.625" style="31" customWidth="1"/>
    <col min="2" max="2" width="25.375" style="31" customWidth="1"/>
    <col min="3" max="3" width="1.625" style="31" customWidth="1"/>
    <col min="4" max="4" width="7.125" style="49" customWidth="1"/>
    <col min="5" max="5" width="2.75" style="41" customWidth="1"/>
    <col min="6" max="6" width="7.125" style="48" customWidth="1"/>
    <col min="7" max="7" width="2.625" style="48" customWidth="1"/>
    <col min="8" max="8" width="7.125" style="49" customWidth="1"/>
    <col min="9" max="9" width="2.75" style="41" customWidth="1"/>
    <col min="10" max="10" width="7.125" style="48" customWidth="1"/>
    <col min="11" max="11" width="7.125" style="49" customWidth="1"/>
    <col min="12" max="12" width="2.75" style="41" customWidth="1"/>
    <col min="13" max="13" width="7.125" style="48" customWidth="1"/>
    <col min="14" max="14" width="7.125" style="49" customWidth="1"/>
    <col min="15" max="15" width="2.75" style="41" customWidth="1"/>
    <col min="16" max="16" width="7.125" style="48" customWidth="1"/>
    <col min="17" max="17" width="7.125" style="31" customWidth="1"/>
    <col min="18" max="18" width="2.75" style="31" customWidth="1"/>
    <col min="19" max="19" width="7.125" style="31" customWidth="1"/>
    <col min="20" max="16384" width="10.625" style="31"/>
  </cols>
  <sheetData>
    <row r="1" spans="1:19" ht="42.75" customHeight="1" x14ac:dyDescent="0.2">
      <c r="A1" s="131" t="s">
        <v>76</v>
      </c>
      <c r="B1" s="132"/>
      <c r="C1" s="132"/>
      <c r="D1" s="132"/>
      <c r="E1" s="132"/>
      <c r="F1" s="132"/>
      <c r="G1" s="132"/>
      <c r="H1" s="132"/>
      <c r="I1" s="132"/>
      <c r="J1" s="132"/>
      <c r="K1" s="132"/>
      <c r="L1" s="132"/>
      <c r="M1" s="132"/>
      <c r="N1" s="132"/>
      <c r="O1" s="132"/>
      <c r="P1" s="132"/>
      <c r="Q1" s="132"/>
      <c r="R1" s="132"/>
      <c r="S1" s="132"/>
    </row>
    <row r="2" spans="1:19" ht="14.25" customHeight="1" x14ac:dyDescent="0.2">
      <c r="A2" s="32"/>
      <c r="B2" s="33"/>
      <c r="C2" s="33"/>
      <c r="D2" s="130" t="s">
        <v>19</v>
      </c>
      <c r="E2" s="130"/>
      <c r="F2" s="130"/>
      <c r="G2" s="33"/>
      <c r="H2" s="130" t="s">
        <v>19</v>
      </c>
      <c r="I2" s="130"/>
      <c r="J2" s="130"/>
      <c r="K2" s="130"/>
      <c r="L2" s="130"/>
      <c r="M2" s="130"/>
      <c r="N2" s="130" t="s">
        <v>20</v>
      </c>
      <c r="O2" s="130"/>
      <c r="P2" s="130"/>
      <c r="Q2" s="130"/>
      <c r="R2" s="130"/>
      <c r="S2" s="130"/>
    </row>
    <row r="3" spans="1:19" ht="14.25" customHeight="1" x14ac:dyDescent="0.2">
      <c r="A3" s="36"/>
      <c r="B3" s="37" t="s">
        <v>3</v>
      </c>
      <c r="C3" s="38"/>
      <c r="D3" s="133" t="s">
        <v>21</v>
      </c>
      <c r="E3" s="133"/>
      <c r="F3" s="133"/>
      <c r="G3" s="39"/>
      <c r="H3" s="133" t="s">
        <v>1</v>
      </c>
      <c r="I3" s="133"/>
      <c r="J3" s="133"/>
      <c r="K3" s="134" t="s">
        <v>22</v>
      </c>
      <c r="L3" s="134"/>
      <c r="M3" s="134"/>
      <c r="N3" s="133" t="s">
        <v>1</v>
      </c>
      <c r="O3" s="133"/>
      <c r="P3" s="133"/>
      <c r="Q3" s="134" t="s">
        <v>22</v>
      </c>
      <c r="R3" s="134"/>
      <c r="S3" s="134"/>
    </row>
    <row r="4" spans="1:19" ht="6" customHeight="1" x14ac:dyDescent="0.2">
      <c r="B4" s="38"/>
      <c r="C4" s="38"/>
      <c r="D4" s="39"/>
      <c r="E4" s="39"/>
      <c r="F4" s="40"/>
      <c r="G4" s="40"/>
      <c r="H4" s="39"/>
      <c r="I4" s="39"/>
      <c r="J4" s="39"/>
      <c r="K4" s="39"/>
      <c r="L4" s="39"/>
      <c r="M4" s="39"/>
      <c r="N4" s="39"/>
      <c r="O4" s="39"/>
      <c r="P4" s="39"/>
    </row>
    <row r="5" spans="1:19" ht="12.75" customHeight="1" x14ac:dyDescent="0.2">
      <c r="A5" s="38" t="s">
        <v>5</v>
      </c>
      <c r="B5" s="38"/>
      <c r="C5" s="38"/>
      <c r="D5" s="39"/>
      <c r="E5" s="39"/>
      <c r="F5" s="40"/>
      <c r="G5" s="40"/>
      <c r="H5" s="39"/>
      <c r="I5" s="39"/>
      <c r="J5" s="39"/>
      <c r="K5" s="39"/>
      <c r="L5" s="39"/>
      <c r="M5" s="39"/>
      <c r="N5" s="39"/>
      <c r="O5" s="39"/>
      <c r="P5" s="39"/>
    </row>
    <row r="6" spans="1:19" s="42" customFormat="1" ht="12.75" customHeight="1" x14ac:dyDescent="0.2">
      <c r="B6" s="42" t="s">
        <v>0</v>
      </c>
      <c r="D6" s="34"/>
      <c r="E6" s="34">
        <v>10</v>
      </c>
      <c r="F6" s="45"/>
      <c r="G6" s="45"/>
      <c r="H6" s="34"/>
      <c r="I6" s="34">
        <v>10</v>
      </c>
      <c r="J6" s="34"/>
      <c r="K6" s="34"/>
      <c r="L6" s="34">
        <v>10</v>
      </c>
      <c r="M6" s="34"/>
      <c r="N6" s="34"/>
      <c r="O6" s="34">
        <v>10</v>
      </c>
      <c r="P6" s="34"/>
      <c r="R6" s="42">
        <v>10</v>
      </c>
    </row>
    <row r="7" spans="1:19" ht="12.75" customHeight="1" x14ac:dyDescent="0.2">
      <c r="A7" s="78"/>
      <c r="B7" s="78" t="s">
        <v>23</v>
      </c>
      <c r="C7" s="78"/>
      <c r="D7" s="120">
        <v>16.7</v>
      </c>
      <c r="E7" s="121" t="s">
        <v>4</v>
      </c>
      <c r="F7" s="122">
        <v>0.3</v>
      </c>
      <c r="G7" s="122"/>
      <c r="H7" s="123">
        <v>16.3</v>
      </c>
      <c r="I7" s="121" t="s">
        <v>4</v>
      </c>
      <c r="J7" s="122">
        <v>0.6</v>
      </c>
      <c r="K7" s="123">
        <v>16.3</v>
      </c>
      <c r="L7" s="121" t="s">
        <v>4</v>
      </c>
      <c r="M7" s="122">
        <v>0.4</v>
      </c>
      <c r="N7" s="123">
        <v>16.5</v>
      </c>
      <c r="O7" s="121" t="s">
        <v>4</v>
      </c>
      <c r="P7" s="122">
        <v>0.4</v>
      </c>
      <c r="Q7" s="123">
        <v>16.3</v>
      </c>
      <c r="R7" s="121" t="s">
        <v>4</v>
      </c>
      <c r="S7" s="122">
        <v>0.6</v>
      </c>
    </row>
    <row r="8" spans="1:19" ht="12.75" customHeight="1" x14ac:dyDescent="0.2">
      <c r="A8" s="78"/>
      <c r="B8" s="78" t="s">
        <v>72</v>
      </c>
      <c r="C8" s="78"/>
      <c r="D8" s="124">
        <v>3.6999999999999998E-2</v>
      </c>
      <c r="E8" s="125" t="s">
        <v>4</v>
      </c>
      <c r="F8" s="126">
        <v>3.0000000000000001E-3</v>
      </c>
      <c r="G8" s="126"/>
      <c r="H8" s="127">
        <v>2.4E-2</v>
      </c>
      <c r="I8" s="125" t="s">
        <v>4</v>
      </c>
      <c r="J8" s="126">
        <v>2E-3</v>
      </c>
      <c r="K8" s="127">
        <v>2.4E-2</v>
      </c>
      <c r="L8" s="125" t="s">
        <v>4</v>
      </c>
      <c r="M8" s="126">
        <v>2E-3</v>
      </c>
      <c r="N8" s="127">
        <v>2.5000000000000001E-2</v>
      </c>
      <c r="O8" s="125" t="s">
        <v>4</v>
      </c>
      <c r="P8" s="126">
        <v>3.0000000000000001E-3</v>
      </c>
      <c r="Q8" s="127">
        <v>2.3E-2</v>
      </c>
      <c r="R8" s="125" t="s">
        <v>4</v>
      </c>
      <c r="S8" s="126">
        <v>1E-3</v>
      </c>
    </row>
    <row r="9" spans="1:19" ht="6" customHeight="1" x14ac:dyDescent="0.2">
      <c r="D9" s="39"/>
      <c r="E9" s="39"/>
      <c r="F9" s="40"/>
      <c r="G9" s="40"/>
      <c r="H9" s="39"/>
      <c r="I9" s="39"/>
      <c r="J9" s="39"/>
      <c r="K9" s="39"/>
      <c r="L9" s="39"/>
      <c r="M9" s="39"/>
      <c r="N9" s="39"/>
      <c r="O9" s="39"/>
      <c r="P9" s="39"/>
      <c r="Q9" s="39"/>
      <c r="R9" s="39"/>
      <c r="S9" s="39"/>
    </row>
    <row r="10" spans="1:19" ht="11.25" customHeight="1" x14ac:dyDescent="0.2">
      <c r="A10" s="57" t="s">
        <v>6</v>
      </c>
      <c r="B10" s="58"/>
      <c r="C10" s="58"/>
      <c r="D10" s="58"/>
      <c r="E10" s="59"/>
      <c r="F10" s="58"/>
      <c r="G10" s="58"/>
      <c r="H10" s="58"/>
      <c r="I10" s="59"/>
      <c r="J10" s="58"/>
      <c r="K10" s="58"/>
      <c r="L10" s="59"/>
      <c r="M10" s="58"/>
      <c r="N10" s="58"/>
      <c r="O10" s="59"/>
      <c r="P10" s="58"/>
    </row>
    <row r="11" spans="1:19" ht="6" customHeight="1" x14ac:dyDescent="0.2">
      <c r="B11" s="38"/>
      <c r="C11" s="38"/>
      <c r="D11" s="39"/>
      <c r="E11" s="39"/>
      <c r="F11" s="40"/>
      <c r="G11" s="40"/>
      <c r="H11" s="39"/>
      <c r="I11" s="39"/>
      <c r="J11" s="39"/>
      <c r="K11" s="39"/>
      <c r="L11" s="39"/>
      <c r="M11" s="39"/>
      <c r="N11" s="39"/>
      <c r="O11" s="39"/>
      <c r="P11" s="39"/>
    </row>
    <row r="12" spans="1:19" ht="11.25" customHeight="1" x14ac:dyDescent="0.2">
      <c r="A12" s="60" t="s">
        <v>24</v>
      </c>
      <c r="B12" s="51"/>
      <c r="C12" s="51"/>
      <c r="D12" s="31"/>
      <c r="E12" s="50"/>
      <c r="F12" s="52"/>
      <c r="G12" s="52"/>
      <c r="H12" s="31"/>
      <c r="I12" s="50"/>
      <c r="J12" s="31"/>
      <c r="K12" s="31"/>
      <c r="L12" s="50"/>
      <c r="M12" s="31"/>
      <c r="N12" s="31"/>
      <c r="O12" s="50"/>
      <c r="P12" s="31"/>
    </row>
    <row r="13" spans="1:19" ht="12.75" customHeight="1" x14ac:dyDescent="0.2">
      <c r="A13" s="51"/>
      <c r="B13" s="51" t="s">
        <v>25</v>
      </c>
      <c r="C13" s="51"/>
      <c r="D13" s="49">
        <v>14.3</v>
      </c>
      <c r="E13" s="61" t="s">
        <v>4</v>
      </c>
      <c r="F13" s="48">
        <v>0.31</v>
      </c>
      <c r="H13" s="49">
        <v>14.89</v>
      </c>
      <c r="I13" s="61" t="s">
        <v>4</v>
      </c>
      <c r="J13" s="48">
        <v>0.28999999999999998</v>
      </c>
      <c r="K13" s="49">
        <v>11.3</v>
      </c>
      <c r="L13" s="61" t="s">
        <v>4</v>
      </c>
      <c r="M13" s="48">
        <v>0.36</v>
      </c>
      <c r="N13" s="49">
        <v>14.67</v>
      </c>
      <c r="O13" s="61" t="s">
        <v>4</v>
      </c>
      <c r="P13" s="48">
        <v>0.26</v>
      </c>
      <c r="Q13" s="49">
        <v>12.92</v>
      </c>
      <c r="R13" s="61" t="s">
        <v>4</v>
      </c>
      <c r="S13" s="48">
        <v>0.17</v>
      </c>
    </row>
    <row r="14" spans="1:19" ht="12.75" customHeight="1" x14ac:dyDescent="0.2">
      <c r="A14" s="51"/>
      <c r="B14" s="51" t="s">
        <v>7</v>
      </c>
      <c r="C14" s="51"/>
      <c r="D14" s="47">
        <v>13.6</v>
      </c>
      <c r="E14" s="16" t="s">
        <v>4</v>
      </c>
      <c r="F14" s="46">
        <v>0.1</v>
      </c>
      <c r="G14" s="46"/>
      <c r="H14" s="47">
        <v>13.7</v>
      </c>
      <c r="I14" s="16" t="s">
        <v>4</v>
      </c>
      <c r="J14" s="46">
        <v>0.1</v>
      </c>
      <c r="K14" s="47">
        <v>13.8</v>
      </c>
      <c r="L14" s="16" t="s">
        <v>4</v>
      </c>
      <c r="M14" s="46">
        <v>0.1</v>
      </c>
      <c r="N14" s="47">
        <v>13.5</v>
      </c>
      <c r="O14" s="16" t="s">
        <v>4</v>
      </c>
      <c r="P14" s="46">
        <v>0.1</v>
      </c>
      <c r="Q14" s="47">
        <v>13.6</v>
      </c>
      <c r="R14" s="16" t="s">
        <v>4</v>
      </c>
      <c r="S14" s="46">
        <v>0.1</v>
      </c>
    </row>
    <row r="15" spans="1:19" ht="6" customHeight="1" x14ac:dyDescent="0.2">
      <c r="B15" s="38"/>
      <c r="C15" s="38"/>
      <c r="D15" s="39"/>
      <c r="E15" s="39"/>
      <c r="F15" s="40"/>
      <c r="G15" s="40"/>
      <c r="H15" s="39"/>
      <c r="I15" s="39"/>
      <c r="J15" s="39"/>
      <c r="K15" s="39"/>
      <c r="L15" s="39"/>
      <c r="M15" s="39"/>
      <c r="N15" s="39"/>
      <c r="O15" s="39"/>
      <c r="P15" s="39"/>
      <c r="Q15" s="39"/>
      <c r="R15" s="39"/>
      <c r="S15" s="39"/>
    </row>
    <row r="16" spans="1:19" ht="12.75" customHeight="1" x14ac:dyDescent="0.2">
      <c r="A16" s="62" t="s">
        <v>69</v>
      </c>
      <c r="B16" s="63"/>
      <c r="C16" s="63"/>
      <c r="Q16" s="49"/>
      <c r="R16" s="41"/>
      <c r="S16" s="48"/>
    </row>
    <row r="17" spans="1:19" ht="12.75" customHeight="1" x14ac:dyDescent="0.2">
      <c r="A17" s="64"/>
      <c r="B17" s="65" t="s">
        <v>13</v>
      </c>
      <c r="C17" s="65"/>
      <c r="D17" s="49">
        <v>0.41</v>
      </c>
      <c r="E17" s="66" t="s">
        <v>4</v>
      </c>
      <c r="F17" s="48">
        <v>0.01</v>
      </c>
      <c r="H17" s="49">
        <v>0.41</v>
      </c>
      <c r="I17" s="66" t="s">
        <v>4</v>
      </c>
      <c r="J17" s="48">
        <v>0</v>
      </c>
      <c r="K17" s="49">
        <v>0.41</v>
      </c>
      <c r="L17" s="66" t="s">
        <v>4</v>
      </c>
      <c r="M17" s="48">
        <v>0</v>
      </c>
      <c r="N17" s="49">
        <v>0.4</v>
      </c>
      <c r="O17" s="66" t="s">
        <v>4</v>
      </c>
      <c r="P17" s="48">
        <v>0.01</v>
      </c>
      <c r="Q17" s="49">
        <v>0.42</v>
      </c>
      <c r="R17" s="66" t="s">
        <v>4</v>
      </c>
      <c r="S17" s="48">
        <v>0.01</v>
      </c>
    </row>
    <row r="18" spans="1:19" x14ac:dyDescent="0.2">
      <c r="A18" s="64"/>
      <c r="B18" s="65" t="s">
        <v>14</v>
      </c>
      <c r="C18" s="65"/>
      <c r="D18" s="49">
        <v>0.16</v>
      </c>
      <c r="E18" s="66" t="s">
        <v>4</v>
      </c>
      <c r="F18" s="48">
        <v>0</v>
      </c>
      <c r="H18" s="49">
        <v>0.15</v>
      </c>
      <c r="I18" s="66" t="s">
        <v>4</v>
      </c>
      <c r="J18" s="48">
        <v>0</v>
      </c>
      <c r="K18" s="49">
        <v>0.14000000000000001</v>
      </c>
      <c r="L18" s="66" t="s">
        <v>4</v>
      </c>
      <c r="M18" s="48">
        <v>0</v>
      </c>
      <c r="N18" s="49">
        <v>0.15</v>
      </c>
      <c r="O18" s="66" t="s">
        <v>4</v>
      </c>
      <c r="P18" s="48">
        <v>0</v>
      </c>
      <c r="Q18" s="49">
        <v>0.15</v>
      </c>
      <c r="R18" s="66" t="s">
        <v>4</v>
      </c>
      <c r="S18" s="48">
        <v>0</v>
      </c>
    </row>
    <row r="19" spans="1:19" x14ac:dyDescent="0.2">
      <c r="A19" s="64"/>
      <c r="B19" s="65" t="s">
        <v>15</v>
      </c>
      <c r="C19" s="65"/>
      <c r="D19" s="49">
        <v>0.25</v>
      </c>
      <c r="E19" s="66" t="s">
        <v>4</v>
      </c>
      <c r="F19" s="48">
        <v>0.01</v>
      </c>
      <c r="H19" s="49">
        <v>0.26</v>
      </c>
      <c r="I19" s="66" t="s">
        <v>4</v>
      </c>
      <c r="J19" s="48">
        <v>0</v>
      </c>
      <c r="K19" s="49">
        <v>0.28000000000000003</v>
      </c>
      <c r="L19" s="66" t="s">
        <v>4</v>
      </c>
      <c r="M19" s="48">
        <v>0</v>
      </c>
      <c r="N19" s="49">
        <v>0.24</v>
      </c>
      <c r="O19" s="66" t="s">
        <v>4</v>
      </c>
      <c r="P19" s="48">
        <v>0</v>
      </c>
      <c r="Q19" s="49">
        <v>0.27</v>
      </c>
      <c r="R19" s="66" t="s">
        <v>4</v>
      </c>
      <c r="S19" s="48">
        <v>0.01</v>
      </c>
    </row>
    <row r="20" spans="1:19" x14ac:dyDescent="0.2">
      <c r="A20" s="64"/>
      <c r="B20" s="65" t="s">
        <v>16</v>
      </c>
      <c r="C20" s="65"/>
      <c r="D20" s="44">
        <v>154</v>
      </c>
      <c r="E20" s="66" t="s">
        <v>4</v>
      </c>
      <c r="F20" s="53">
        <v>2</v>
      </c>
      <c r="G20" s="53"/>
      <c r="H20" s="44">
        <v>151</v>
      </c>
      <c r="I20" s="66" t="s">
        <v>4</v>
      </c>
      <c r="J20" s="53">
        <v>3</v>
      </c>
      <c r="K20" s="44">
        <v>133</v>
      </c>
      <c r="L20" s="66" t="s">
        <v>4</v>
      </c>
      <c r="M20" s="53">
        <v>2</v>
      </c>
      <c r="N20" s="44">
        <v>154</v>
      </c>
      <c r="O20" s="66" t="s">
        <v>4</v>
      </c>
      <c r="P20" s="53">
        <v>3</v>
      </c>
      <c r="Q20" s="44">
        <v>142</v>
      </c>
      <c r="R20" s="66" t="s">
        <v>4</v>
      </c>
      <c r="S20" s="53">
        <v>2</v>
      </c>
    </row>
    <row r="21" spans="1:19" ht="15.75" x14ac:dyDescent="0.3">
      <c r="A21" s="68"/>
      <c r="B21" s="67" t="s">
        <v>18</v>
      </c>
      <c r="C21" s="67"/>
      <c r="D21" s="49">
        <v>0.28999999999999998</v>
      </c>
      <c r="E21" s="66" t="s">
        <v>4</v>
      </c>
      <c r="F21" s="48">
        <v>0.01</v>
      </c>
      <c r="H21" s="49">
        <v>0.28999999999999998</v>
      </c>
      <c r="I21" s="66" t="s">
        <v>4</v>
      </c>
      <c r="J21" s="48">
        <v>0.01</v>
      </c>
      <c r="K21" s="49">
        <v>0.26</v>
      </c>
      <c r="L21" s="66" t="s">
        <v>4</v>
      </c>
      <c r="M21" s="48">
        <v>0.01</v>
      </c>
      <c r="N21" s="49">
        <v>0.28000000000000003</v>
      </c>
      <c r="O21" s="66" t="s">
        <v>4</v>
      </c>
      <c r="P21" s="48">
        <v>0.01</v>
      </c>
      <c r="Q21" s="49">
        <v>0.28000000000000003</v>
      </c>
      <c r="R21" s="66" t="s">
        <v>4</v>
      </c>
      <c r="S21" s="48">
        <v>0.01</v>
      </c>
    </row>
    <row r="22" spans="1:19" ht="6" customHeight="1" x14ac:dyDescent="0.2">
      <c r="B22" s="38"/>
      <c r="C22" s="38"/>
      <c r="D22" s="39"/>
      <c r="E22" s="39"/>
      <c r="F22" s="40"/>
      <c r="G22" s="40"/>
      <c r="H22" s="39"/>
      <c r="I22" s="39"/>
      <c r="J22" s="39"/>
      <c r="K22" s="39"/>
      <c r="L22" s="39"/>
      <c r="M22" s="39"/>
      <c r="N22" s="39"/>
      <c r="O22" s="39"/>
      <c r="P22" s="39"/>
    </row>
    <row r="23" spans="1:19" ht="12.75" customHeight="1" x14ac:dyDescent="0.2">
      <c r="A23" s="62" t="s">
        <v>26</v>
      </c>
      <c r="B23" s="63"/>
      <c r="C23" s="63"/>
    </row>
    <row r="24" spans="1:19" x14ac:dyDescent="0.2">
      <c r="A24" s="64"/>
      <c r="B24" s="69" t="s">
        <v>8</v>
      </c>
      <c r="C24" s="69"/>
      <c r="D24" s="49">
        <v>14.12</v>
      </c>
      <c r="E24" s="66" t="s">
        <v>4</v>
      </c>
      <c r="F24" s="48">
        <v>0.6</v>
      </c>
      <c r="H24" s="49">
        <v>12.64</v>
      </c>
      <c r="I24" s="66" t="s">
        <v>4</v>
      </c>
      <c r="J24" s="48">
        <v>0.56000000000000005</v>
      </c>
      <c r="K24" s="49">
        <v>6.26</v>
      </c>
      <c r="L24" s="66" t="s">
        <v>4</v>
      </c>
      <c r="M24" s="48">
        <v>0.69</v>
      </c>
      <c r="N24" s="49">
        <v>18</v>
      </c>
      <c r="O24" s="66" t="s">
        <v>4</v>
      </c>
      <c r="P24" s="48">
        <v>0.41</v>
      </c>
      <c r="Q24" s="49">
        <v>13.67</v>
      </c>
      <c r="R24" s="66" t="s">
        <v>4</v>
      </c>
      <c r="S24" s="48">
        <v>0.63</v>
      </c>
    </row>
    <row r="25" spans="1:19" x14ac:dyDescent="0.2">
      <c r="A25" s="70"/>
      <c r="B25" s="71" t="s">
        <v>9</v>
      </c>
      <c r="C25" s="71"/>
      <c r="D25" s="49">
        <v>220.86</v>
      </c>
      <c r="E25" s="66" t="s">
        <v>4</v>
      </c>
      <c r="F25" s="48">
        <v>10.94</v>
      </c>
      <c r="H25" s="49">
        <v>195.16</v>
      </c>
      <c r="I25" s="66" t="s">
        <v>4</v>
      </c>
      <c r="J25" s="48">
        <v>11.37</v>
      </c>
      <c r="K25" s="49">
        <v>54.2</v>
      </c>
      <c r="L25" s="66" t="s">
        <v>4</v>
      </c>
      <c r="M25" s="48">
        <v>8.14</v>
      </c>
      <c r="N25" s="49">
        <v>280.75</v>
      </c>
      <c r="O25" s="66" t="s">
        <v>4</v>
      </c>
      <c r="P25" s="48">
        <v>8.4700000000000006</v>
      </c>
      <c r="Q25" s="49">
        <v>201.17</v>
      </c>
      <c r="R25" s="66" t="s">
        <v>4</v>
      </c>
      <c r="S25" s="48">
        <v>12.66</v>
      </c>
    </row>
    <row r="26" spans="1:19" x14ac:dyDescent="0.2">
      <c r="A26" s="64"/>
      <c r="B26" s="69" t="s">
        <v>10</v>
      </c>
      <c r="C26" s="69"/>
      <c r="D26" s="49">
        <v>6.15</v>
      </c>
      <c r="E26" s="66" t="s">
        <v>4</v>
      </c>
      <c r="F26" s="48">
        <v>0.09</v>
      </c>
      <c r="H26" s="49">
        <v>5.63</v>
      </c>
      <c r="I26" s="66" t="s">
        <v>4</v>
      </c>
      <c r="J26" s="48">
        <v>0.1</v>
      </c>
      <c r="K26" s="49">
        <v>4.3</v>
      </c>
      <c r="L26" s="66" t="s">
        <v>4</v>
      </c>
      <c r="M26" s="48">
        <v>0.12</v>
      </c>
      <c r="N26" s="49">
        <v>6.32</v>
      </c>
      <c r="O26" s="66" t="s">
        <v>4</v>
      </c>
      <c r="P26" s="48">
        <v>0.08</v>
      </c>
      <c r="Q26" s="49">
        <v>5.96</v>
      </c>
      <c r="R26" s="66" t="s">
        <v>4</v>
      </c>
      <c r="S26" s="48">
        <v>0.08</v>
      </c>
    </row>
    <row r="27" spans="1:19" x14ac:dyDescent="0.2">
      <c r="A27" s="64"/>
      <c r="B27" s="69" t="s">
        <v>11</v>
      </c>
      <c r="C27" s="69"/>
      <c r="D27" s="44">
        <v>39</v>
      </c>
      <c r="E27" s="66" t="s">
        <v>4</v>
      </c>
      <c r="F27" s="53">
        <v>1</v>
      </c>
      <c r="G27" s="53"/>
      <c r="H27" s="44">
        <v>38</v>
      </c>
      <c r="I27" s="66" t="s">
        <v>4</v>
      </c>
      <c r="J27" s="53">
        <v>1</v>
      </c>
      <c r="K27" s="44">
        <v>40</v>
      </c>
      <c r="L27" s="66" t="s">
        <v>4</v>
      </c>
      <c r="M27" s="53">
        <v>1</v>
      </c>
      <c r="N27" s="44">
        <v>42</v>
      </c>
      <c r="O27" s="66" t="s">
        <v>4</v>
      </c>
      <c r="P27" s="53">
        <v>1</v>
      </c>
      <c r="Q27" s="44">
        <v>39</v>
      </c>
      <c r="R27" s="66" t="s">
        <v>4</v>
      </c>
      <c r="S27" s="53">
        <v>1</v>
      </c>
    </row>
    <row r="28" spans="1:19" x14ac:dyDescent="0.2">
      <c r="A28" s="63"/>
      <c r="B28" s="69" t="s">
        <v>12</v>
      </c>
      <c r="C28" s="69"/>
      <c r="D28" s="44">
        <v>162</v>
      </c>
      <c r="E28" s="66" t="s">
        <v>4</v>
      </c>
      <c r="F28" s="53">
        <v>2</v>
      </c>
      <c r="G28" s="53"/>
      <c r="H28" s="44">
        <v>178</v>
      </c>
      <c r="I28" s="66" t="s">
        <v>4</v>
      </c>
      <c r="J28" s="53">
        <v>3</v>
      </c>
      <c r="K28" s="44">
        <v>240</v>
      </c>
      <c r="L28" s="66" t="s">
        <v>4</v>
      </c>
      <c r="M28" s="53">
        <v>8</v>
      </c>
      <c r="N28" s="44">
        <v>155</v>
      </c>
      <c r="O28" s="66" t="s">
        <v>4</v>
      </c>
      <c r="P28" s="53">
        <v>2</v>
      </c>
      <c r="Q28" s="44">
        <v>164</v>
      </c>
      <c r="R28" s="66" t="s">
        <v>4</v>
      </c>
      <c r="S28" s="53">
        <v>3</v>
      </c>
    </row>
    <row r="29" spans="1:19" ht="6" customHeight="1" x14ac:dyDescent="0.2">
      <c r="A29" s="63"/>
      <c r="B29" s="69"/>
      <c r="C29" s="69"/>
      <c r="D29" s="44"/>
      <c r="E29" s="66"/>
      <c r="F29" s="53"/>
      <c r="G29" s="53"/>
      <c r="H29" s="44"/>
      <c r="I29" s="66"/>
      <c r="J29" s="53"/>
      <c r="K29" s="44"/>
      <c r="L29" s="66"/>
      <c r="M29" s="53"/>
      <c r="N29" s="44"/>
      <c r="O29" s="66"/>
      <c r="P29" s="53"/>
      <c r="Q29" s="44"/>
      <c r="R29" s="66"/>
      <c r="S29" s="53"/>
    </row>
    <row r="30" spans="1:19" ht="12.75" customHeight="1" x14ac:dyDescent="0.2">
      <c r="A30" s="62" t="s">
        <v>27</v>
      </c>
      <c r="B30" s="63"/>
      <c r="C30" s="63"/>
      <c r="Q30" s="49"/>
      <c r="R30" s="41"/>
      <c r="S30" s="48"/>
    </row>
    <row r="31" spans="1:19" x14ac:dyDescent="0.2">
      <c r="A31" s="64"/>
      <c r="B31" s="69" t="s">
        <v>8</v>
      </c>
      <c r="C31" s="69"/>
      <c r="D31" s="49">
        <v>25.09</v>
      </c>
      <c r="E31" s="66" t="s">
        <v>4</v>
      </c>
      <c r="F31" s="48">
        <v>0.81</v>
      </c>
      <c r="H31" s="49">
        <v>27.28</v>
      </c>
      <c r="I31" s="66" t="s">
        <v>4</v>
      </c>
      <c r="J31" s="48">
        <v>0.33</v>
      </c>
      <c r="K31" s="49">
        <v>18.87</v>
      </c>
      <c r="L31" s="66" t="s">
        <v>4</v>
      </c>
      <c r="M31" s="48">
        <v>1.1599999999999999</v>
      </c>
      <c r="N31" s="49">
        <v>30.07</v>
      </c>
      <c r="O31" s="66" t="s">
        <v>4</v>
      </c>
      <c r="P31" s="48">
        <v>0.69</v>
      </c>
      <c r="Q31" s="49">
        <v>25.49</v>
      </c>
      <c r="R31" s="66" t="s">
        <v>4</v>
      </c>
      <c r="S31" s="48">
        <v>0.75</v>
      </c>
    </row>
    <row r="32" spans="1:19" x14ac:dyDescent="0.2">
      <c r="A32" s="70"/>
      <c r="B32" s="71" t="s">
        <v>9</v>
      </c>
      <c r="C32" s="71"/>
      <c r="D32" s="49">
        <v>298.97000000000003</v>
      </c>
      <c r="E32" s="66" t="s">
        <v>4</v>
      </c>
      <c r="F32" s="48">
        <v>9.23</v>
      </c>
      <c r="H32" s="49">
        <v>256.39</v>
      </c>
      <c r="I32" s="66" t="s">
        <v>4</v>
      </c>
      <c r="J32" s="48">
        <v>4.6900000000000004</v>
      </c>
      <c r="K32" s="49">
        <v>244.62</v>
      </c>
      <c r="L32" s="66" t="s">
        <v>4</v>
      </c>
      <c r="M32" s="48">
        <v>12.58</v>
      </c>
      <c r="N32" s="49">
        <v>254.65</v>
      </c>
      <c r="O32" s="66" t="s">
        <v>4</v>
      </c>
      <c r="P32" s="48">
        <v>9.07</v>
      </c>
      <c r="Q32" s="49">
        <v>287.70999999999998</v>
      </c>
      <c r="R32" s="66" t="s">
        <v>4</v>
      </c>
      <c r="S32" s="48">
        <v>7.81</v>
      </c>
    </row>
    <row r="33" spans="1:19" x14ac:dyDescent="0.2">
      <c r="A33" s="64"/>
      <c r="B33" s="69" t="s">
        <v>10</v>
      </c>
      <c r="C33" s="69"/>
      <c r="D33" s="49">
        <v>7.31</v>
      </c>
      <c r="E33" s="66" t="s">
        <v>4</v>
      </c>
      <c r="F33" s="48">
        <v>0.22</v>
      </c>
      <c r="H33" s="49">
        <v>6.68</v>
      </c>
      <c r="I33" s="66" t="s">
        <v>4</v>
      </c>
      <c r="J33" s="48">
        <v>0.09</v>
      </c>
      <c r="K33" s="49">
        <v>6.24</v>
      </c>
      <c r="L33" s="66" t="s">
        <v>4</v>
      </c>
      <c r="M33" s="48">
        <v>0.15</v>
      </c>
      <c r="N33" s="49">
        <v>6.95</v>
      </c>
      <c r="O33" s="66" t="s">
        <v>4</v>
      </c>
      <c r="P33" s="48">
        <v>0.16</v>
      </c>
      <c r="Q33" s="49">
        <v>6.56</v>
      </c>
      <c r="R33" s="66" t="s">
        <v>4</v>
      </c>
      <c r="S33" s="48">
        <v>0.13</v>
      </c>
    </row>
    <row r="34" spans="1:19" x14ac:dyDescent="0.2">
      <c r="A34" s="64"/>
      <c r="B34" s="69" t="s">
        <v>11</v>
      </c>
      <c r="C34" s="69"/>
      <c r="D34" s="44">
        <v>47</v>
      </c>
      <c r="E34" s="66" t="s">
        <v>4</v>
      </c>
      <c r="F34" s="53">
        <v>1</v>
      </c>
      <c r="G34" s="53"/>
      <c r="H34" s="44">
        <v>51</v>
      </c>
      <c r="I34" s="66" t="s">
        <v>4</v>
      </c>
      <c r="J34" s="53">
        <v>1</v>
      </c>
      <c r="K34" s="44">
        <v>43</v>
      </c>
      <c r="L34" s="66" t="s">
        <v>4</v>
      </c>
      <c r="M34" s="53">
        <v>1</v>
      </c>
      <c r="N34" s="44">
        <v>53</v>
      </c>
      <c r="O34" s="66" t="s">
        <v>4</v>
      </c>
      <c r="P34" s="53">
        <v>0</v>
      </c>
      <c r="Q34" s="44">
        <v>48</v>
      </c>
      <c r="R34" s="66" t="s">
        <v>4</v>
      </c>
      <c r="S34" s="53">
        <v>1</v>
      </c>
    </row>
    <row r="35" spans="1:19" x14ac:dyDescent="0.2">
      <c r="A35" s="63"/>
      <c r="B35" s="69" t="s">
        <v>12</v>
      </c>
      <c r="C35" s="69"/>
      <c r="D35" s="44">
        <v>142</v>
      </c>
      <c r="E35" s="66" t="s">
        <v>4</v>
      </c>
      <c r="F35" s="53">
        <v>3</v>
      </c>
      <c r="G35" s="53"/>
      <c r="H35" s="44">
        <v>151</v>
      </c>
      <c r="I35" s="66" t="s">
        <v>4</v>
      </c>
      <c r="J35" s="53">
        <v>2</v>
      </c>
      <c r="K35" s="44">
        <v>165</v>
      </c>
      <c r="L35" s="66" t="s">
        <v>4</v>
      </c>
      <c r="M35" s="53">
        <v>4</v>
      </c>
      <c r="N35" s="44">
        <v>144</v>
      </c>
      <c r="O35" s="66" t="s">
        <v>4</v>
      </c>
      <c r="P35" s="53">
        <v>3</v>
      </c>
      <c r="Q35" s="44">
        <v>153</v>
      </c>
      <c r="R35" s="66" t="s">
        <v>4</v>
      </c>
      <c r="S35" s="53">
        <v>3</v>
      </c>
    </row>
    <row r="36" spans="1:19" ht="6" customHeight="1" x14ac:dyDescent="0.2">
      <c r="B36" s="38"/>
      <c r="C36" s="38"/>
      <c r="D36" s="39"/>
      <c r="E36" s="39"/>
      <c r="F36" s="40"/>
      <c r="G36" s="40"/>
      <c r="H36" s="39"/>
      <c r="I36" s="39"/>
      <c r="J36" s="39"/>
      <c r="K36" s="39"/>
      <c r="L36" s="39"/>
      <c r="M36" s="39"/>
      <c r="N36" s="39"/>
      <c r="O36" s="39"/>
      <c r="P36" s="39"/>
    </row>
    <row r="37" spans="1:19" ht="11.25" customHeight="1" x14ac:dyDescent="0.2">
      <c r="A37" s="60" t="s">
        <v>28</v>
      </c>
      <c r="B37" s="51"/>
      <c r="C37" s="51"/>
      <c r="D37" s="31"/>
      <c r="E37" s="50"/>
      <c r="F37" s="52"/>
      <c r="G37" s="52"/>
      <c r="H37" s="31"/>
      <c r="I37" s="50"/>
      <c r="J37" s="31"/>
      <c r="K37" s="31"/>
      <c r="L37" s="50"/>
      <c r="M37" s="31"/>
      <c r="N37" s="31"/>
      <c r="O37" s="50"/>
      <c r="P37" s="31"/>
    </row>
    <row r="38" spans="1:19" ht="12.75" customHeight="1" x14ac:dyDescent="0.2">
      <c r="A38" s="51"/>
      <c r="B38" s="72" t="s">
        <v>25</v>
      </c>
      <c r="C38" s="72"/>
      <c r="D38" s="73">
        <v>7.15</v>
      </c>
      <c r="E38" s="74" t="s">
        <v>4</v>
      </c>
      <c r="F38" s="75">
        <v>0.15</v>
      </c>
      <c r="G38" s="75"/>
      <c r="H38" s="73">
        <v>7.05</v>
      </c>
      <c r="I38" s="74" t="s">
        <v>4</v>
      </c>
      <c r="J38" s="75">
        <v>0.12</v>
      </c>
      <c r="K38" s="73">
        <v>6.42</v>
      </c>
      <c r="L38" s="74" t="s">
        <v>4</v>
      </c>
      <c r="M38" s="75">
        <v>0.12</v>
      </c>
      <c r="N38" s="73">
        <v>7</v>
      </c>
      <c r="O38" s="74" t="s">
        <v>4</v>
      </c>
      <c r="P38" s="75">
        <v>0.15</v>
      </c>
      <c r="Q38" s="73">
        <v>7.05</v>
      </c>
      <c r="R38" s="74" t="s">
        <v>4</v>
      </c>
      <c r="S38" s="75">
        <v>0.12</v>
      </c>
    </row>
    <row r="39" spans="1:19" s="78" customFormat="1" ht="12.75" customHeight="1" x14ac:dyDescent="0.2">
      <c r="A39" s="72"/>
      <c r="B39" s="72" t="s">
        <v>7</v>
      </c>
      <c r="C39" s="72"/>
      <c r="D39" s="76">
        <v>11</v>
      </c>
      <c r="E39" s="5" t="s">
        <v>4</v>
      </c>
      <c r="F39" s="77">
        <v>0.1</v>
      </c>
      <c r="G39" s="77"/>
      <c r="H39" s="76">
        <v>11.1</v>
      </c>
      <c r="I39" s="5" t="s">
        <v>4</v>
      </c>
      <c r="J39" s="77">
        <v>0</v>
      </c>
      <c r="K39" s="76">
        <v>11.1</v>
      </c>
      <c r="L39" s="5" t="s">
        <v>4</v>
      </c>
      <c r="M39" s="77">
        <v>0.1</v>
      </c>
      <c r="N39" s="76">
        <v>10.8</v>
      </c>
      <c r="O39" s="5" t="s">
        <v>4</v>
      </c>
      <c r="P39" s="77">
        <v>0.1</v>
      </c>
      <c r="Q39" s="76">
        <v>10.9</v>
      </c>
      <c r="R39" s="5" t="s">
        <v>4</v>
      </c>
      <c r="S39" s="77">
        <v>0.1</v>
      </c>
    </row>
    <row r="40" spans="1:19" s="78" customFormat="1" ht="6" customHeight="1" x14ac:dyDescent="0.2">
      <c r="B40" s="30"/>
      <c r="C40" s="30"/>
      <c r="D40" s="79"/>
      <c r="E40" s="79"/>
      <c r="F40" s="80"/>
      <c r="G40" s="80"/>
      <c r="H40" s="79"/>
      <c r="I40" s="79"/>
      <c r="J40" s="79"/>
      <c r="K40" s="79"/>
      <c r="L40" s="79"/>
      <c r="M40" s="79"/>
      <c r="N40" s="79"/>
      <c r="O40" s="79"/>
      <c r="P40" s="79"/>
      <c r="Q40" s="79"/>
      <c r="R40" s="79"/>
      <c r="S40" s="79"/>
    </row>
    <row r="41" spans="1:19" s="78" customFormat="1" ht="12.75" customHeight="1" x14ac:dyDescent="0.2">
      <c r="A41" s="81" t="s">
        <v>29</v>
      </c>
      <c r="B41" s="67"/>
      <c r="C41" s="67"/>
      <c r="D41" s="73"/>
      <c r="E41" s="35"/>
      <c r="F41" s="75"/>
      <c r="G41" s="75"/>
      <c r="H41" s="73"/>
      <c r="I41" s="35"/>
      <c r="J41" s="75"/>
      <c r="K41" s="73"/>
      <c r="L41" s="35"/>
      <c r="M41" s="75"/>
      <c r="N41" s="73"/>
      <c r="O41" s="35"/>
      <c r="P41" s="75"/>
      <c r="Q41" s="73"/>
      <c r="R41" s="35"/>
      <c r="S41" s="75"/>
    </row>
    <row r="42" spans="1:19" s="78" customFormat="1" ht="12.75" customHeight="1" x14ac:dyDescent="0.2">
      <c r="A42" s="83"/>
      <c r="B42" s="84" t="s">
        <v>13</v>
      </c>
      <c r="C42" s="84"/>
      <c r="D42" s="55">
        <v>0.191</v>
      </c>
      <c r="E42" s="88" t="s">
        <v>4</v>
      </c>
      <c r="F42" s="56">
        <v>3.0000000000000001E-3</v>
      </c>
      <c r="G42" s="56"/>
      <c r="H42" s="55">
        <v>0.19400000000000001</v>
      </c>
      <c r="I42" s="88" t="s">
        <v>4</v>
      </c>
      <c r="J42" s="56">
        <v>2E-3</v>
      </c>
      <c r="K42" s="55">
        <v>0.192</v>
      </c>
      <c r="L42" s="88" t="s">
        <v>4</v>
      </c>
      <c r="M42" s="56">
        <v>2E-3</v>
      </c>
      <c r="N42" s="55">
        <v>0.189</v>
      </c>
      <c r="O42" s="88" t="s">
        <v>4</v>
      </c>
      <c r="P42" s="56">
        <v>3.0000000000000001E-3</v>
      </c>
      <c r="Q42" s="55">
        <v>0.2</v>
      </c>
      <c r="R42" s="88" t="s">
        <v>4</v>
      </c>
      <c r="S42" s="56">
        <v>4.0000000000000001E-3</v>
      </c>
    </row>
    <row r="43" spans="1:19" s="78" customFormat="1" x14ac:dyDescent="0.2">
      <c r="A43" s="83"/>
      <c r="B43" s="84" t="s">
        <v>14</v>
      </c>
      <c r="C43" s="84"/>
      <c r="D43" s="55">
        <v>0.10199999999999999</v>
      </c>
      <c r="E43" s="88" t="s">
        <v>4</v>
      </c>
      <c r="F43" s="56">
        <v>2E-3</v>
      </c>
      <c r="G43" s="56"/>
      <c r="H43" s="55">
        <v>0.1</v>
      </c>
      <c r="I43" s="88" t="s">
        <v>4</v>
      </c>
      <c r="J43" s="56">
        <v>2E-3</v>
      </c>
      <c r="K43" s="55">
        <v>9.5000000000000001E-2</v>
      </c>
      <c r="L43" s="88" t="s">
        <v>4</v>
      </c>
      <c r="M43" s="56">
        <v>1E-3</v>
      </c>
      <c r="N43" s="55">
        <v>9.8000000000000004E-2</v>
      </c>
      <c r="O43" s="88" t="s">
        <v>4</v>
      </c>
      <c r="P43" s="56">
        <v>2E-3</v>
      </c>
      <c r="Q43" s="55">
        <v>0.10299999999999999</v>
      </c>
      <c r="R43" s="88" t="s">
        <v>4</v>
      </c>
      <c r="S43" s="56">
        <v>2E-3</v>
      </c>
    </row>
    <row r="44" spans="1:19" s="78" customFormat="1" x14ac:dyDescent="0.2">
      <c r="A44" s="83"/>
      <c r="B44" s="84" t="s">
        <v>15</v>
      </c>
      <c r="C44" s="84"/>
      <c r="D44" s="55">
        <v>0.09</v>
      </c>
      <c r="E44" s="88" t="s">
        <v>4</v>
      </c>
      <c r="F44" s="56">
        <v>2E-3</v>
      </c>
      <c r="G44" s="56"/>
      <c r="H44" s="55">
        <v>9.4E-2</v>
      </c>
      <c r="I44" s="88" t="s">
        <v>4</v>
      </c>
      <c r="J44" s="56">
        <v>1E-3</v>
      </c>
      <c r="K44" s="55">
        <v>9.6000000000000002E-2</v>
      </c>
      <c r="L44" s="88" t="s">
        <v>4</v>
      </c>
      <c r="M44" s="56">
        <v>2E-3</v>
      </c>
      <c r="N44" s="55">
        <v>9.0999999999999998E-2</v>
      </c>
      <c r="O44" s="88" t="s">
        <v>4</v>
      </c>
      <c r="P44" s="56">
        <v>2E-3</v>
      </c>
      <c r="Q44" s="55">
        <v>9.7000000000000003E-2</v>
      </c>
      <c r="R44" s="88" t="s">
        <v>4</v>
      </c>
      <c r="S44" s="56">
        <v>3.0000000000000001E-3</v>
      </c>
    </row>
    <row r="45" spans="1:19" s="78" customFormat="1" x14ac:dyDescent="0.2">
      <c r="A45" s="83"/>
      <c r="B45" s="84" t="s">
        <v>16</v>
      </c>
      <c r="C45" s="84"/>
      <c r="D45" s="89">
        <v>155</v>
      </c>
      <c r="E45" s="90" t="s">
        <v>4</v>
      </c>
      <c r="F45" s="91">
        <v>2</v>
      </c>
      <c r="G45" s="91"/>
      <c r="H45" s="89">
        <v>152</v>
      </c>
      <c r="I45" s="90" t="s">
        <v>4</v>
      </c>
      <c r="J45" s="91">
        <v>2</v>
      </c>
      <c r="K45" s="89">
        <v>145</v>
      </c>
      <c r="L45" s="90" t="s">
        <v>4</v>
      </c>
      <c r="M45" s="91">
        <v>2</v>
      </c>
      <c r="N45" s="89">
        <v>151</v>
      </c>
      <c r="O45" s="90" t="s">
        <v>4</v>
      </c>
      <c r="P45" s="91">
        <v>2</v>
      </c>
      <c r="Q45" s="89">
        <v>153</v>
      </c>
      <c r="R45" s="90" t="s">
        <v>4</v>
      </c>
      <c r="S45" s="91">
        <v>2</v>
      </c>
    </row>
    <row r="46" spans="1:19" s="78" customFormat="1" ht="15.75" x14ac:dyDescent="0.3">
      <c r="A46" s="86"/>
      <c r="B46" s="67" t="s">
        <v>18</v>
      </c>
      <c r="C46" s="67"/>
      <c r="D46" s="55">
        <v>7.6999999999999999E-2</v>
      </c>
      <c r="E46" s="88" t="s">
        <v>4</v>
      </c>
      <c r="F46" s="56">
        <v>2E-3</v>
      </c>
      <c r="G46" s="56"/>
      <c r="H46" s="55">
        <v>7.8E-2</v>
      </c>
      <c r="I46" s="88" t="s">
        <v>4</v>
      </c>
      <c r="J46" s="56">
        <v>2E-3</v>
      </c>
      <c r="K46" s="55">
        <v>7.3999999999999996E-2</v>
      </c>
      <c r="L46" s="88" t="s">
        <v>4</v>
      </c>
      <c r="M46" s="56">
        <v>2E-3</v>
      </c>
      <c r="N46" s="55">
        <v>7.3999999999999996E-2</v>
      </c>
      <c r="O46" s="88" t="s">
        <v>4</v>
      </c>
      <c r="P46" s="56">
        <v>3.0000000000000001E-3</v>
      </c>
      <c r="Q46" s="55">
        <v>8.3000000000000004E-2</v>
      </c>
      <c r="R46" s="88" t="s">
        <v>4</v>
      </c>
      <c r="S46" s="56">
        <v>3.0000000000000001E-3</v>
      </c>
    </row>
    <row r="47" spans="1:19" ht="6" customHeight="1" x14ac:dyDescent="0.2">
      <c r="A47" s="68"/>
      <c r="B47" s="67"/>
      <c r="C47" s="67"/>
      <c r="E47" s="66"/>
      <c r="I47" s="66"/>
      <c r="L47" s="66"/>
      <c r="O47" s="66"/>
      <c r="Q47" s="49"/>
      <c r="R47" s="66"/>
      <c r="S47" s="48"/>
    </row>
    <row r="48" spans="1:19" ht="12.75" customHeight="1" x14ac:dyDescent="0.2">
      <c r="A48" s="92" t="s">
        <v>30</v>
      </c>
      <c r="B48" s="67"/>
      <c r="C48" s="67"/>
      <c r="D48" s="73"/>
      <c r="E48" s="35"/>
      <c r="F48" s="75"/>
      <c r="G48" s="75"/>
      <c r="H48" s="73"/>
    </row>
    <row r="49" spans="1:19" x14ac:dyDescent="0.2">
      <c r="A49" s="83"/>
      <c r="B49" s="69" t="s">
        <v>8</v>
      </c>
      <c r="C49" s="69"/>
      <c r="D49" s="54">
        <v>11.31</v>
      </c>
      <c r="E49" s="90" t="s">
        <v>4</v>
      </c>
      <c r="F49" s="93">
        <v>0.56999999999999995</v>
      </c>
      <c r="G49" s="93"/>
      <c r="H49" s="54">
        <v>9.77</v>
      </c>
      <c r="I49" s="90" t="s">
        <v>4</v>
      </c>
      <c r="J49" s="93">
        <v>0.54</v>
      </c>
      <c r="K49" s="54">
        <v>7.28</v>
      </c>
      <c r="L49" s="90" t="s">
        <v>4</v>
      </c>
      <c r="M49" s="93">
        <v>0.45</v>
      </c>
      <c r="N49" s="54">
        <v>12.94</v>
      </c>
      <c r="O49" s="90" t="s">
        <v>4</v>
      </c>
      <c r="P49" s="93">
        <v>0.39</v>
      </c>
      <c r="Q49" s="54">
        <v>11.61</v>
      </c>
      <c r="R49" s="90" t="s">
        <v>4</v>
      </c>
      <c r="S49" s="93">
        <v>0.36</v>
      </c>
    </row>
    <row r="50" spans="1:19" x14ac:dyDescent="0.2">
      <c r="A50" s="87"/>
      <c r="B50" s="71" t="s">
        <v>9</v>
      </c>
      <c r="C50" s="71"/>
      <c r="D50" s="54">
        <v>163.65</v>
      </c>
      <c r="E50" s="90" t="s">
        <v>4</v>
      </c>
      <c r="F50" s="93">
        <v>13.61</v>
      </c>
      <c r="G50" s="93"/>
      <c r="H50" s="54">
        <v>134.59</v>
      </c>
      <c r="I50" s="90" t="s">
        <v>4</v>
      </c>
      <c r="J50" s="93">
        <v>12.08</v>
      </c>
      <c r="K50" s="54">
        <v>78.709999999999994</v>
      </c>
      <c r="L50" s="90" t="s">
        <v>4</v>
      </c>
      <c r="M50" s="93">
        <v>8.6300000000000008</v>
      </c>
      <c r="N50" s="54">
        <v>188.15</v>
      </c>
      <c r="O50" s="90" t="s">
        <v>4</v>
      </c>
      <c r="P50" s="93">
        <v>9.41</v>
      </c>
      <c r="Q50" s="54">
        <v>152.61000000000001</v>
      </c>
      <c r="R50" s="90" t="s">
        <v>4</v>
      </c>
      <c r="S50" s="93">
        <v>8.4499999999999993</v>
      </c>
    </row>
    <row r="51" spans="1:19" x14ac:dyDescent="0.2">
      <c r="A51" s="83"/>
      <c r="B51" s="69" t="s">
        <v>10</v>
      </c>
      <c r="C51" s="69"/>
      <c r="D51" s="54">
        <v>6.56</v>
      </c>
      <c r="E51" s="94" t="s">
        <v>4</v>
      </c>
      <c r="F51" s="93">
        <v>0.17</v>
      </c>
      <c r="G51" s="93"/>
      <c r="H51" s="54">
        <v>5.88</v>
      </c>
      <c r="I51" s="94" t="s">
        <v>4</v>
      </c>
      <c r="J51" s="93">
        <v>7.0000000000000007E-2</v>
      </c>
      <c r="K51" s="54">
        <v>5.51</v>
      </c>
      <c r="L51" s="94" t="s">
        <v>4</v>
      </c>
      <c r="M51" s="93">
        <v>7.0000000000000007E-2</v>
      </c>
      <c r="N51" s="54">
        <v>6.42</v>
      </c>
      <c r="O51" s="94" t="s">
        <v>4</v>
      </c>
      <c r="P51" s="93">
        <v>0.09</v>
      </c>
      <c r="Q51" s="54">
        <v>6.04</v>
      </c>
      <c r="R51" s="94" t="s">
        <v>4</v>
      </c>
      <c r="S51" s="93">
        <v>0.08</v>
      </c>
    </row>
    <row r="52" spans="1:19" x14ac:dyDescent="0.2">
      <c r="A52" s="83"/>
      <c r="B52" s="69" t="s">
        <v>11</v>
      </c>
      <c r="C52" s="69"/>
      <c r="D52" s="89">
        <v>35</v>
      </c>
      <c r="E52" s="90" t="s">
        <v>4</v>
      </c>
      <c r="F52" s="91">
        <v>0</v>
      </c>
      <c r="G52" s="91"/>
      <c r="H52" s="89">
        <v>35</v>
      </c>
      <c r="I52" s="90" t="s">
        <v>4</v>
      </c>
      <c r="J52" s="91">
        <v>1</v>
      </c>
      <c r="K52" s="89">
        <v>37</v>
      </c>
      <c r="L52" s="90" t="s">
        <v>4</v>
      </c>
      <c r="M52" s="91">
        <v>1</v>
      </c>
      <c r="N52" s="89">
        <v>37</v>
      </c>
      <c r="O52" s="90" t="s">
        <v>4</v>
      </c>
      <c r="P52" s="91">
        <v>1</v>
      </c>
      <c r="Q52" s="89">
        <v>39</v>
      </c>
      <c r="R52" s="90" t="s">
        <v>4</v>
      </c>
      <c r="S52" s="91">
        <v>1</v>
      </c>
    </row>
    <row r="53" spans="1:19" x14ac:dyDescent="0.2">
      <c r="A53" s="67"/>
      <c r="B53" s="69" t="s">
        <v>12</v>
      </c>
      <c r="C53" s="69"/>
      <c r="D53" s="89">
        <v>156</v>
      </c>
      <c r="E53" s="90" t="s">
        <v>4</v>
      </c>
      <c r="F53" s="91">
        <v>5</v>
      </c>
      <c r="G53" s="91"/>
      <c r="H53" s="89">
        <v>175</v>
      </c>
      <c r="I53" s="90" t="s">
        <v>4</v>
      </c>
      <c r="J53" s="91">
        <v>3</v>
      </c>
      <c r="K53" s="89">
        <v>190</v>
      </c>
      <c r="L53" s="90" t="s">
        <v>4</v>
      </c>
      <c r="M53" s="91">
        <v>3</v>
      </c>
      <c r="N53" s="89">
        <v>158</v>
      </c>
      <c r="O53" s="90" t="s">
        <v>4</v>
      </c>
      <c r="P53" s="91">
        <v>1</v>
      </c>
      <c r="Q53" s="89">
        <v>166</v>
      </c>
      <c r="R53" s="90" t="s">
        <v>4</v>
      </c>
      <c r="S53" s="91">
        <v>2</v>
      </c>
    </row>
    <row r="54" spans="1:19" ht="6" customHeight="1" x14ac:dyDescent="0.2">
      <c r="B54" s="38"/>
      <c r="C54" s="38"/>
      <c r="D54" s="39"/>
      <c r="E54" s="39"/>
      <c r="F54" s="40"/>
      <c r="G54" s="40"/>
      <c r="H54" s="39"/>
      <c r="I54" s="39"/>
      <c r="J54" s="39"/>
      <c r="K54" s="39"/>
      <c r="L54" s="39"/>
      <c r="M54" s="39"/>
      <c r="N54" s="39"/>
      <c r="O54" s="39"/>
      <c r="P54" s="39"/>
    </row>
    <row r="55" spans="1:19" x14ac:dyDescent="0.2">
      <c r="A55" s="62" t="s">
        <v>31</v>
      </c>
      <c r="B55" s="63"/>
      <c r="C55" s="69"/>
      <c r="D55" s="43"/>
      <c r="E55" s="85"/>
      <c r="F55" s="82"/>
      <c r="G55" s="82"/>
      <c r="H55" s="43"/>
      <c r="I55" s="85"/>
      <c r="J55" s="82"/>
      <c r="K55" s="43"/>
      <c r="L55" s="85"/>
      <c r="M55" s="82"/>
      <c r="N55" s="43"/>
      <c r="O55" s="85"/>
      <c r="P55" s="82"/>
      <c r="Q55" s="43"/>
      <c r="R55" s="85"/>
      <c r="S55" s="82"/>
    </row>
    <row r="56" spans="1:19" x14ac:dyDescent="0.2">
      <c r="A56" s="64"/>
      <c r="B56" s="69" t="s">
        <v>8</v>
      </c>
      <c r="C56" s="69"/>
      <c r="D56" s="73">
        <v>32.979999999999997</v>
      </c>
      <c r="E56" s="95" t="s">
        <v>4</v>
      </c>
      <c r="F56" s="75">
        <v>0.65</v>
      </c>
      <c r="G56" s="82"/>
      <c r="H56" s="73">
        <v>29.8</v>
      </c>
      <c r="I56" s="95" t="s">
        <v>4</v>
      </c>
      <c r="J56" s="75">
        <v>0.45</v>
      </c>
      <c r="K56" s="73">
        <v>23.1</v>
      </c>
      <c r="L56" s="95" t="s">
        <v>4</v>
      </c>
      <c r="M56" s="75">
        <v>0.65</v>
      </c>
      <c r="N56" s="73">
        <v>32.770000000000003</v>
      </c>
      <c r="O56" s="95" t="s">
        <v>4</v>
      </c>
      <c r="P56" s="75">
        <v>0.36</v>
      </c>
      <c r="Q56" s="73">
        <v>30.05</v>
      </c>
      <c r="R56" s="95" t="s">
        <v>4</v>
      </c>
      <c r="S56" s="75">
        <v>0.35</v>
      </c>
    </row>
    <row r="57" spans="1:19" x14ac:dyDescent="0.2">
      <c r="A57" s="70"/>
      <c r="B57" s="71" t="s">
        <v>9</v>
      </c>
      <c r="C57" s="69"/>
      <c r="D57" s="73">
        <v>360.63</v>
      </c>
      <c r="E57" s="95" t="s">
        <v>4</v>
      </c>
      <c r="F57" s="75">
        <v>9.7100000000000009</v>
      </c>
      <c r="G57" s="82"/>
      <c r="H57" s="73">
        <v>283.33999999999997</v>
      </c>
      <c r="I57" s="95" t="s">
        <v>4</v>
      </c>
      <c r="J57" s="75">
        <v>6.49</v>
      </c>
      <c r="K57" s="73">
        <v>240.35</v>
      </c>
      <c r="L57" s="95" t="s">
        <v>4</v>
      </c>
      <c r="M57" s="75">
        <v>8.77</v>
      </c>
      <c r="N57" s="73">
        <v>324.87</v>
      </c>
      <c r="O57" s="95" t="s">
        <v>4</v>
      </c>
      <c r="P57" s="75">
        <v>21.35</v>
      </c>
      <c r="Q57" s="73">
        <v>288.74</v>
      </c>
      <c r="R57" s="95" t="s">
        <v>4</v>
      </c>
      <c r="S57" s="75">
        <v>9.9600000000000009</v>
      </c>
    </row>
    <row r="58" spans="1:19" x14ac:dyDescent="0.2">
      <c r="A58" s="64"/>
      <c r="B58" s="69" t="s">
        <v>10</v>
      </c>
      <c r="C58" s="69"/>
      <c r="D58" s="73">
        <v>6.99</v>
      </c>
      <c r="E58" s="95" t="s">
        <v>4</v>
      </c>
      <c r="F58" s="75">
        <v>0.17</v>
      </c>
      <c r="G58" s="82"/>
      <c r="H58" s="73">
        <v>6.45</v>
      </c>
      <c r="I58" s="95" t="s">
        <v>4</v>
      </c>
      <c r="J58" s="75">
        <v>0.12</v>
      </c>
      <c r="K58" s="73">
        <v>5.74</v>
      </c>
      <c r="L58" s="95" t="s">
        <v>4</v>
      </c>
      <c r="M58" s="75">
        <v>0.1</v>
      </c>
      <c r="N58" s="73">
        <v>6.67</v>
      </c>
      <c r="O58" s="95" t="s">
        <v>4</v>
      </c>
      <c r="P58" s="75">
        <v>0.14000000000000001</v>
      </c>
      <c r="Q58" s="73">
        <v>6.35</v>
      </c>
      <c r="R58" s="95" t="s">
        <v>4</v>
      </c>
      <c r="S58" s="75">
        <v>0.16</v>
      </c>
    </row>
    <row r="59" spans="1:19" x14ac:dyDescent="0.2">
      <c r="A59" s="64"/>
      <c r="B59" s="69" t="s">
        <v>11</v>
      </c>
      <c r="C59" s="69"/>
      <c r="D59" s="43">
        <v>53</v>
      </c>
      <c r="E59" s="66" t="s">
        <v>4</v>
      </c>
      <c r="F59" s="82">
        <v>1</v>
      </c>
      <c r="G59" s="82"/>
      <c r="H59" s="43">
        <v>51</v>
      </c>
      <c r="I59" s="66" t="s">
        <v>4</v>
      </c>
      <c r="J59" s="82">
        <v>1</v>
      </c>
      <c r="K59" s="43">
        <v>47</v>
      </c>
      <c r="L59" s="66" t="s">
        <v>4</v>
      </c>
      <c r="M59" s="82">
        <v>1</v>
      </c>
      <c r="N59" s="43">
        <v>52</v>
      </c>
      <c r="O59" s="66" t="s">
        <v>4</v>
      </c>
      <c r="P59" s="82">
        <v>1</v>
      </c>
      <c r="Q59" s="43">
        <v>52</v>
      </c>
      <c r="R59" s="66" t="s">
        <v>4</v>
      </c>
      <c r="S59" s="82">
        <v>0</v>
      </c>
    </row>
    <row r="60" spans="1:19" x14ac:dyDescent="0.2">
      <c r="A60" s="63"/>
      <c r="B60" s="69" t="s">
        <v>12</v>
      </c>
      <c r="C60" s="69"/>
      <c r="D60" s="43">
        <v>140</v>
      </c>
      <c r="E60" s="66" t="s">
        <v>4</v>
      </c>
      <c r="F60" s="82">
        <v>5</v>
      </c>
      <c r="G60" s="82"/>
      <c r="H60" s="43">
        <v>155</v>
      </c>
      <c r="I60" s="66" t="s">
        <v>4</v>
      </c>
      <c r="J60" s="82">
        <v>4</v>
      </c>
      <c r="K60" s="43">
        <v>175</v>
      </c>
      <c r="L60" s="66" t="s">
        <v>4</v>
      </c>
      <c r="M60" s="82">
        <v>3</v>
      </c>
      <c r="N60" s="43">
        <v>148</v>
      </c>
      <c r="O60" s="66" t="s">
        <v>4</v>
      </c>
      <c r="P60" s="82">
        <v>3</v>
      </c>
      <c r="Q60" s="43">
        <v>158</v>
      </c>
      <c r="R60" s="66" t="s">
        <v>4</v>
      </c>
      <c r="S60" s="82">
        <v>4</v>
      </c>
    </row>
    <row r="61" spans="1:19" ht="6" customHeight="1" x14ac:dyDescent="0.2">
      <c r="A61" s="96"/>
      <c r="B61" s="97"/>
      <c r="C61" s="97"/>
      <c r="D61" s="98"/>
      <c r="E61" s="99"/>
      <c r="F61" s="100"/>
      <c r="G61" s="100"/>
      <c r="H61" s="98"/>
      <c r="I61" s="99"/>
      <c r="J61" s="100"/>
      <c r="K61" s="98"/>
      <c r="L61" s="99"/>
      <c r="M61" s="100"/>
      <c r="N61" s="98"/>
      <c r="O61" s="99"/>
      <c r="P61" s="100"/>
      <c r="Q61" s="36"/>
      <c r="R61" s="36"/>
      <c r="S61" s="36"/>
    </row>
    <row r="62" spans="1:19" x14ac:dyDescent="0.2">
      <c r="A62" s="101" t="s">
        <v>17</v>
      </c>
    </row>
  </sheetData>
  <mergeCells count="9">
    <mergeCell ref="H2:M2"/>
    <mergeCell ref="N2:S2"/>
    <mergeCell ref="A1:S1"/>
    <mergeCell ref="D2:F2"/>
    <mergeCell ref="D3:F3"/>
    <mergeCell ref="H3:J3"/>
    <mergeCell ref="K3:M3"/>
    <mergeCell ref="N3:P3"/>
    <mergeCell ref="Q3:S3"/>
  </mergeCells>
  <phoneticPr fontId="2" type="noConversion"/>
  <printOptions horizontalCentered="1" gridLines="1"/>
  <pageMargins left="0.25" right="0.25" top="0.75" bottom="0.75" header="0.3" footer="0.3"/>
  <pageSetup scale="76" orientation="portrait" r:id="rId1"/>
  <headerFooter>
    <oddHeader>&amp;F</oddHeader>
    <oddFooter>&amp;C&amp;A&amp;R&amp;D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52"/>
  <sheetViews>
    <sheetView workbookViewId="0">
      <selection activeCell="N23" sqref="N23"/>
    </sheetView>
  </sheetViews>
  <sheetFormatPr defaultColWidth="8" defaultRowHeight="12.75" x14ac:dyDescent="0.2"/>
  <cols>
    <col min="1" max="1" width="3.75" style="12" customWidth="1"/>
    <col min="2" max="2" width="9.875" style="12" bestFit="1" customWidth="1"/>
    <col min="3" max="3" width="8.125" style="7" bestFit="1" customWidth="1"/>
    <col min="4" max="4" width="5.25" style="12" bestFit="1" customWidth="1"/>
    <col min="5" max="5" width="5.75" style="12" bestFit="1" customWidth="1"/>
    <col min="6" max="6" width="4.625" style="29" bestFit="1" customWidth="1"/>
    <col min="7" max="16384" width="8" style="12"/>
  </cols>
  <sheetData>
    <row r="1" spans="1:6" s="102" customFormat="1" ht="38.25" x14ac:dyDescent="0.2">
      <c r="A1" s="28" t="s">
        <v>0</v>
      </c>
      <c r="B1" s="28" t="s">
        <v>32</v>
      </c>
      <c r="C1" s="28" t="s">
        <v>3</v>
      </c>
      <c r="D1" s="28" t="s">
        <v>33</v>
      </c>
      <c r="E1" s="28" t="s">
        <v>34</v>
      </c>
      <c r="F1" s="17" t="s">
        <v>35</v>
      </c>
    </row>
    <row r="2" spans="1:6" x14ac:dyDescent="0.2">
      <c r="B2" s="7" t="s">
        <v>36</v>
      </c>
      <c r="C2" s="7" t="s">
        <v>21</v>
      </c>
      <c r="D2" s="7">
        <v>1</v>
      </c>
      <c r="E2" s="7">
        <v>2</v>
      </c>
      <c r="F2" s="13">
        <v>16.100000000000001</v>
      </c>
    </row>
    <row r="3" spans="1:6" x14ac:dyDescent="0.2">
      <c r="B3" s="7" t="s">
        <v>36</v>
      </c>
      <c r="C3" s="7" t="s">
        <v>21</v>
      </c>
      <c r="D3" s="7">
        <v>1</v>
      </c>
      <c r="E3" s="7">
        <v>4</v>
      </c>
      <c r="F3" s="29">
        <v>16.3</v>
      </c>
    </row>
    <row r="4" spans="1:6" x14ac:dyDescent="0.2">
      <c r="B4" s="7" t="s">
        <v>36</v>
      </c>
      <c r="C4" s="7" t="s">
        <v>21</v>
      </c>
      <c r="D4" s="7">
        <v>1</v>
      </c>
      <c r="E4" s="7">
        <v>8</v>
      </c>
      <c r="F4" s="13">
        <v>18</v>
      </c>
    </row>
    <row r="5" spans="1:6" x14ac:dyDescent="0.2">
      <c r="B5" s="7" t="s">
        <v>36</v>
      </c>
      <c r="C5" s="7" t="s">
        <v>21</v>
      </c>
      <c r="D5" s="7">
        <v>1</v>
      </c>
      <c r="E5" s="7">
        <v>13</v>
      </c>
      <c r="F5" s="13">
        <v>17.100000000000001</v>
      </c>
    </row>
    <row r="6" spans="1:6" x14ac:dyDescent="0.2">
      <c r="B6" s="7" t="s">
        <v>36</v>
      </c>
      <c r="C6" s="7" t="s">
        <v>21</v>
      </c>
      <c r="D6" s="7">
        <v>1</v>
      </c>
      <c r="E6" s="7">
        <v>21</v>
      </c>
      <c r="F6" s="13">
        <v>17</v>
      </c>
    </row>
    <row r="7" spans="1:6" x14ac:dyDescent="0.2">
      <c r="B7" s="7" t="s">
        <v>36</v>
      </c>
      <c r="C7" s="7" t="s">
        <v>21</v>
      </c>
      <c r="D7" s="7">
        <v>1</v>
      </c>
      <c r="E7" s="7">
        <v>27</v>
      </c>
      <c r="F7" s="13">
        <v>16.8</v>
      </c>
    </row>
    <row r="8" spans="1:6" x14ac:dyDescent="0.2">
      <c r="B8" s="7" t="s">
        <v>36</v>
      </c>
      <c r="C8" s="7" t="s">
        <v>21</v>
      </c>
      <c r="D8" s="7">
        <v>1</v>
      </c>
      <c r="E8" s="7">
        <v>30</v>
      </c>
      <c r="F8" s="13">
        <v>16.399999999999999</v>
      </c>
    </row>
    <row r="9" spans="1:6" x14ac:dyDescent="0.2">
      <c r="B9" s="7" t="s">
        <v>36</v>
      </c>
      <c r="C9" s="7" t="s">
        <v>21</v>
      </c>
      <c r="D9" s="7">
        <v>1</v>
      </c>
      <c r="E9" s="7">
        <v>31</v>
      </c>
      <c r="F9" s="13">
        <v>15.4</v>
      </c>
    </row>
    <row r="10" spans="1:6" x14ac:dyDescent="0.2">
      <c r="B10" s="7" t="s">
        <v>36</v>
      </c>
      <c r="C10" s="7" t="s">
        <v>21</v>
      </c>
      <c r="D10" s="7">
        <v>1</v>
      </c>
      <c r="E10" s="7">
        <v>34</v>
      </c>
      <c r="F10" s="13">
        <v>15.7</v>
      </c>
    </row>
    <row r="11" spans="1:6" x14ac:dyDescent="0.2">
      <c r="A11" s="10">
        <f>COUNT(F2:F11)</f>
        <v>10</v>
      </c>
      <c r="B11" s="10" t="s">
        <v>36</v>
      </c>
      <c r="C11" s="10" t="s">
        <v>21</v>
      </c>
      <c r="D11" s="10">
        <v>1</v>
      </c>
      <c r="E11" s="10">
        <v>39</v>
      </c>
      <c r="F11" s="14">
        <v>18.5</v>
      </c>
    </row>
    <row r="12" spans="1:6" x14ac:dyDescent="0.2">
      <c r="B12" s="105" t="s">
        <v>36</v>
      </c>
      <c r="C12" s="7" t="s">
        <v>1</v>
      </c>
      <c r="D12" s="105">
        <v>2</v>
      </c>
      <c r="E12" s="105">
        <v>5</v>
      </c>
      <c r="F12" s="13">
        <v>17.5</v>
      </c>
    </row>
    <row r="13" spans="1:6" x14ac:dyDescent="0.2">
      <c r="B13" s="7" t="s">
        <v>36</v>
      </c>
      <c r="C13" s="7" t="s">
        <v>1</v>
      </c>
      <c r="D13" s="7">
        <v>2</v>
      </c>
      <c r="E13" s="7">
        <v>15</v>
      </c>
      <c r="F13" s="13">
        <v>13.9</v>
      </c>
    </row>
    <row r="14" spans="1:6" x14ac:dyDescent="0.2">
      <c r="B14" s="7" t="s">
        <v>36</v>
      </c>
      <c r="C14" s="7" t="s">
        <v>1</v>
      </c>
      <c r="D14" s="7">
        <v>2</v>
      </c>
      <c r="E14" s="7">
        <v>20</v>
      </c>
      <c r="F14" s="13">
        <v>14.4</v>
      </c>
    </row>
    <row r="15" spans="1:6" x14ac:dyDescent="0.2">
      <c r="B15" s="7" t="s">
        <v>36</v>
      </c>
      <c r="C15" s="7" t="s">
        <v>1</v>
      </c>
      <c r="D15" s="7">
        <v>2</v>
      </c>
      <c r="E15" s="7">
        <v>26</v>
      </c>
      <c r="F15" s="13">
        <v>17.7</v>
      </c>
    </row>
    <row r="16" spans="1:6" x14ac:dyDescent="0.2">
      <c r="B16" s="7" t="s">
        <v>36</v>
      </c>
      <c r="C16" s="7" t="s">
        <v>1</v>
      </c>
      <c r="D16" s="7">
        <v>2</v>
      </c>
      <c r="E16" s="7">
        <v>29</v>
      </c>
      <c r="F16" s="13">
        <v>14.3</v>
      </c>
    </row>
    <row r="17" spans="1:6" x14ac:dyDescent="0.2">
      <c r="B17" s="7" t="s">
        <v>36</v>
      </c>
      <c r="C17" s="7" t="s">
        <v>1</v>
      </c>
      <c r="D17" s="7">
        <v>2</v>
      </c>
      <c r="E17" s="7">
        <v>32</v>
      </c>
      <c r="F17" s="13">
        <v>18.2</v>
      </c>
    </row>
    <row r="18" spans="1:6" x14ac:dyDescent="0.2">
      <c r="B18" s="7" t="s">
        <v>36</v>
      </c>
      <c r="C18" s="7" t="s">
        <v>1</v>
      </c>
      <c r="D18" s="7">
        <v>2</v>
      </c>
      <c r="E18" s="7">
        <v>36</v>
      </c>
      <c r="F18" s="13">
        <v>16</v>
      </c>
    </row>
    <row r="19" spans="1:6" x14ac:dyDescent="0.2">
      <c r="B19" s="7" t="s">
        <v>36</v>
      </c>
      <c r="C19" s="7" t="s">
        <v>1</v>
      </c>
      <c r="D19" s="7">
        <v>2</v>
      </c>
      <c r="E19" s="7">
        <v>42</v>
      </c>
      <c r="F19" s="13">
        <v>18.3</v>
      </c>
    </row>
    <row r="20" spans="1:6" x14ac:dyDescent="0.2">
      <c r="B20" s="7" t="s">
        <v>36</v>
      </c>
      <c r="C20" s="7" t="s">
        <v>1</v>
      </c>
      <c r="D20" s="7">
        <v>2</v>
      </c>
      <c r="E20" s="7">
        <v>43</v>
      </c>
      <c r="F20" s="13">
        <v>18.3</v>
      </c>
    </row>
    <row r="21" spans="1:6" x14ac:dyDescent="0.2">
      <c r="A21" s="10">
        <f>COUNT(F12:F21)</f>
        <v>10</v>
      </c>
      <c r="B21" s="10" t="s">
        <v>36</v>
      </c>
      <c r="C21" s="10" t="s">
        <v>1</v>
      </c>
      <c r="D21" s="10">
        <v>2</v>
      </c>
      <c r="E21" s="10">
        <v>46</v>
      </c>
      <c r="F21" s="14">
        <v>14.8</v>
      </c>
    </row>
    <row r="22" spans="1:6" x14ac:dyDescent="0.2">
      <c r="B22" s="105" t="s">
        <v>36</v>
      </c>
      <c r="C22" s="7" t="s">
        <v>22</v>
      </c>
      <c r="D22" s="105">
        <v>3</v>
      </c>
      <c r="E22" s="105">
        <v>1</v>
      </c>
      <c r="F22" s="13">
        <v>17.8</v>
      </c>
    </row>
    <row r="23" spans="1:6" x14ac:dyDescent="0.2">
      <c r="B23" s="7" t="s">
        <v>36</v>
      </c>
      <c r="C23" s="7" t="s">
        <v>22</v>
      </c>
      <c r="D23" s="7">
        <v>3</v>
      </c>
      <c r="E23" s="7">
        <v>16</v>
      </c>
      <c r="F23" s="13">
        <v>15</v>
      </c>
    </row>
    <row r="24" spans="1:6" x14ac:dyDescent="0.2">
      <c r="B24" s="7" t="s">
        <v>36</v>
      </c>
      <c r="C24" s="7" t="s">
        <v>22</v>
      </c>
      <c r="D24" s="7">
        <v>3</v>
      </c>
      <c r="E24" s="7">
        <v>19</v>
      </c>
      <c r="F24" s="13">
        <v>17.3</v>
      </c>
    </row>
    <row r="25" spans="1:6" x14ac:dyDescent="0.2">
      <c r="B25" s="7" t="s">
        <v>36</v>
      </c>
      <c r="C25" s="7" t="s">
        <v>22</v>
      </c>
      <c r="D25" s="7">
        <v>3</v>
      </c>
      <c r="E25" s="7">
        <v>22</v>
      </c>
      <c r="F25" s="13">
        <v>15.9</v>
      </c>
    </row>
    <row r="26" spans="1:6" x14ac:dyDescent="0.2">
      <c r="B26" s="7" t="s">
        <v>36</v>
      </c>
      <c r="C26" s="7" t="s">
        <v>22</v>
      </c>
      <c r="D26" s="7">
        <v>3</v>
      </c>
      <c r="E26" s="7">
        <v>25</v>
      </c>
      <c r="F26" s="13">
        <v>18</v>
      </c>
    </row>
    <row r="27" spans="1:6" x14ac:dyDescent="0.2">
      <c r="B27" s="7" t="s">
        <v>36</v>
      </c>
      <c r="C27" s="7" t="s">
        <v>22</v>
      </c>
      <c r="D27" s="7">
        <v>3</v>
      </c>
      <c r="E27" s="7">
        <v>28</v>
      </c>
      <c r="F27" s="13">
        <v>16.600000000000001</v>
      </c>
    </row>
    <row r="28" spans="1:6" x14ac:dyDescent="0.2">
      <c r="B28" s="7" t="s">
        <v>36</v>
      </c>
      <c r="C28" s="7" t="s">
        <v>22</v>
      </c>
      <c r="D28" s="7">
        <v>3</v>
      </c>
      <c r="E28" s="7">
        <v>38</v>
      </c>
      <c r="F28" s="13">
        <v>14.8</v>
      </c>
    </row>
    <row r="29" spans="1:6" x14ac:dyDescent="0.2">
      <c r="B29" s="7" t="s">
        <v>36</v>
      </c>
      <c r="C29" s="7" t="s">
        <v>22</v>
      </c>
      <c r="D29" s="7">
        <v>3</v>
      </c>
      <c r="E29" s="7">
        <v>40</v>
      </c>
      <c r="F29" s="13">
        <v>16.600000000000001</v>
      </c>
    </row>
    <row r="30" spans="1:6" x14ac:dyDescent="0.2">
      <c r="B30" s="7" t="s">
        <v>36</v>
      </c>
      <c r="C30" s="7" t="s">
        <v>22</v>
      </c>
      <c r="D30" s="7">
        <v>3</v>
      </c>
      <c r="E30" s="7">
        <v>41</v>
      </c>
      <c r="F30" s="13">
        <v>14.5</v>
      </c>
    </row>
    <row r="31" spans="1:6" x14ac:dyDescent="0.2">
      <c r="A31" s="10">
        <f>COUNT(F22:F31)</f>
        <v>10</v>
      </c>
      <c r="B31" s="10" t="s">
        <v>36</v>
      </c>
      <c r="C31" s="10" t="s">
        <v>22</v>
      </c>
      <c r="D31" s="10">
        <v>3</v>
      </c>
      <c r="E31" s="10">
        <v>48</v>
      </c>
      <c r="F31" s="14">
        <v>16.8</v>
      </c>
    </row>
    <row r="32" spans="1:6" x14ac:dyDescent="0.2">
      <c r="B32" s="105" t="s">
        <v>37</v>
      </c>
      <c r="C32" s="7" t="s">
        <v>1</v>
      </c>
      <c r="D32" s="105">
        <v>4</v>
      </c>
      <c r="E32" s="105">
        <v>7</v>
      </c>
      <c r="F32" s="13">
        <v>16</v>
      </c>
    </row>
    <row r="33" spans="1:6" x14ac:dyDescent="0.2">
      <c r="B33" s="7" t="s">
        <v>37</v>
      </c>
      <c r="C33" s="7" t="s">
        <v>1</v>
      </c>
      <c r="D33" s="7">
        <v>4</v>
      </c>
      <c r="E33" s="7">
        <v>11</v>
      </c>
      <c r="F33" s="13">
        <v>16.7</v>
      </c>
    </row>
    <row r="34" spans="1:6" x14ac:dyDescent="0.2">
      <c r="B34" s="7" t="s">
        <v>37</v>
      </c>
      <c r="C34" s="7" t="s">
        <v>1</v>
      </c>
      <c r="D34" s="7">
        <v>4</v>
      </c>
      <c r="E34" s="7">
        <v>14</v>
      </c>
      <c r="F34" s="13">
        <v>15.3</v>
      </c>
    </row>
    <row r="35" spans="1:6" x14ac:dyDescent="0.2">
      <c r="B35" s="7" t="s">
        <v>37</v>
      </c>
      <c r="C35" s="7" t="s">
        <v>1</v>
      </c>
      <c r="D35" s="7">
        <v>4</v>
      </c>
      <c r="E35" s="7">
        <v>18</v>
      </c>
      <c r="F35" s="13">
        <v>14</v>
      </c>
    </row>
    <row r="36" spans="1:6" x14ac:dyDescent="0.2">
      <c r="B36" s="7" t="s">
        <v>37</v>
      </c>
      <c r="C36" s="7" t="s">
        <v>1</v>
      </c>
      <c r="D36" s="7">
        <v>4</v>
      </c>
      <c r="E36" s="7">
        <v>23</v>
      </c>
      <c r="F36" s="13">
        <v>15.3</v>
      </c>
    </row>
    <row r="37" spans="1:6" x14ac:dyDescent="0.2">
      <c r="B37" s="7" t="s">
        <v>37</v>
      </c>
      <c r="C37" s="7" t="s">
        <v>1</v>
      </c>
      <c r="D37" s="7">
        <v>4</v>
      </c>
      <c r="E37" s="7">
        <v>33</v>
      </c>
      <c r="F37" s="13">
        <v>17.7</v>
      </c>
    </row>
    <row r="38" spans="1:6" x14ac:dyDescent="0.2">
      <c r="B38" s="7" t="s">
        <v>37</v>
      </c>
      <c r="C38" s="7" t="s">
        <v>1</v>
      </c>
      <c r="D38" s="7">
        <v>4</v>
      </c>
      <c r="E38" s="7">
        <v>37</v>
      </c>
      <c r="F38" s="13">
        <v>17.2</v>
      </c>
    </row>
    <row r="39" spans="1:6" x14ac:dyDescent="0.2">
      <c r="B39" s="7" t="s">
        <v>37</v>
      </c>
      <c r="C39" s="7" t="s">
        <v>1</v>
      </c>
      <c r="D39" s="7">
        <v>4</v>
      </c>
      <c r="E39" s="7">
        <v>45</v>
      </c>
      <c r="F39" s="13">
        <v>16.3</v>
      </c>
    </row>
    <row r="40" spans="1:6" x14ac:dyDescent="0.2">
      <c r="B40" s="7" t="s">
        <v>37</v>
      </c>
      <c r="C40" s="7" t="s">
        <v>1</v>
      </c>
      <c r="D40" s="7">
        <v>4</v>
      </c>
      <c r="E40" s="7">
        <v>47</v>
      </c>
      <c r="F40" s="13">
        <v>18.7</v>
      </c>
    </row>
    <row r="41" spans="1:6" x14ac:dyDescent="0.2">
      <c r="A41" s="10">
        <f>COUNT(F32:F41)</f>
        <v>10</v>
      </c>
      <c r="B41" s="10" t="s">
        <v>37</v>
      </c>
      <c r="C41" s="10" t="s">
        <v>1</v>
      </c>
      <c r="D41" s="10">
        <v>4</v>
      </c>
      <c r="E41" s="10">
        <v>50</v>
      </c>
      <c r="F41" s="14">
        <v>17.600000000000001</v>
      </c>
    </row>
    <row r="42" spans="1:6" x14ac:dyDescent="0.2">
      <c r="B42" s="105" t="s">
        <v>37</v>
      </c>
      <c r="C42" s="7" t="s">
        <v>22</v>
      </c>
      <c r="D42" s="105">
        <v>5</v>
      </c>
      <c r="E42" s="105">
        <v>3</v>
      </c>
      <c r="F42" s="13">
        <v>16.5</v>
      </c>
    </row>
    <row r="43" spans="1:6" x14ac:dyDescent="0.2">
      <c r="B43" s="7" t="s">
        <v>37</v>
      </c>
      <c r="C43" s="7" t="s">
        <v>22</v>
      </c>
      <c r="D43" s="7">
        <v>5</v>
      </c>
      <c r="E43" s="7">
        <v>6</v>
      </c>
      <c r="F43" s="13">
        <v>14.3</v>
      </c>
    </row>
    <row r="44" spans="1:6" x14ac:dyDescent="0.2">
      <c r="B44" s="7" t="s">
        <v>37</v>
      </c>
      <c r="C44" s="7" t="s">
        <v>22</v>
      </c>
      <c r="D44" s="7">
        <v>5</v>
      </c>
      <c r="E44" s="7">
        <v>9</v>
      </c>
      <c r="F44" s="13">
        <v>14.8</v>
      </c>
    </row>
    <row r="45" spans="1:6" x14ac:dyDescent="0.2">
      <c r="B45" s="7" t="s">
        <v>37</v>
      </c>
      <c r="C45" s="7" t="s">
        <v>22</v>
      </c>
      <c r="D45" s="7">
        <v>5</v>
      </c>
      <c r="E45" s="7">
        <v>10</v>
      </c>
      <c r="F45" s="13">
        <v>14.7</v>
      </c>
    </row>
    <row r="46" spans="1:6" x14ac:dyDescent="0.2">
      <c r="B46" s="7" t="s">
        <v>37</v>
      </c>
      <c r="C46" s="7" t="s">
        <v>22</v>
      </c>
      <c r="D46" s="7">
        <v>5</v>
      </c>
      <c r="E46" s="7">
        <v>12</v>
      </c>
      <c r="F46" s="13">
        <v>17.3</v>
      </c>
    </row>
    <row r="47" spans="1:6" x14ac:dyDescent="0.2">
      <c r="B47" s="7" t="s">
        <v>37</v>
      </c>
      <c r="C47" s="7" t="s">
        <v>22</v>
      </c>
      <c r="D47" s="7">
        <v>5</v>
      </c>
      <c r="E47" s="7">
        <v>17</v>
      </c>
      <c r="F47" s="13">
        <v>17.2</v>
      </c>
    </row>
    <row r="48" spans="1:6" x14ac:dyDescent="0.2">
      <c r="B48" s="7" t="s">
        <v>37</v>
      </c>
      <c r="C48" s="7" t="s">
        <v>22</v>
      </c>
      <c r="D48" s="7">
        <v>5</v>
      </c>
      <c r="E48" s="7">
        <v>24</v>
      </c>
      <c r="F48" s="13">
        <v>14.2</v>
      </c>
    </row>
    <row r="49" spans="1:6" x14ac:dyDescent="0.2">
      <c r="B49" s="7" t="s">
        <v>37</v>
      </c>
      <c r="C49" s="7" t="s">
        <v>22</v>
      </c>
      <c r="D49" s="7">
        <v>5</v>
      </c>
      <c r="E49" s="7">
        <v>35</v>
      </c>
      <c r="F49" s="13">
        <v>16.600000000000001</v>
      </c>
    </row>
    <row r="50" spans="1:6" x14ac:dyDescent="0.2">
      <c r="B50" s="7" t="s">
        <v>37</v>
      </c>
      <c r="C50" s="7" t="s">
        <v>22</v>
      </c>
      <c r="D50" s="7">
        <v>5</v>
      </c>
      <c r="E50" s="7">
        <v>44</v>
      </c>
      <c r="F50" s="13">
        <v>17.399999999999999</v>
      </c>
    </row>
    <row r="51" spans="1:6" x14ac:dyDescent="0.2">
      <c r="A51" s="10">
        <f>COUNT(F42:F51)</f>
        <v>10</v>
      </c>
      <c r="B51" s="10" t="s">
        <v>37</v>
      </c>
      <c r="C51" s="10" t="s">
        <v>22</v>
      </c>
      <c r="D51" s="10">
        <v>5</v>
      </c>
      <c r="E51" s="10">
        <v>49</v>
      </c>
      <c r="F51" s="14">
        <v>19.600000000000001</v>
      </c>
    </row>
    <row r="52" spans="1:6" x14ac:dyDescent="0.2">
      <c r="A52" s="12">
        <f>COUNT(F2:F51)</f>
        <v>50</v>
      </c>
    </row>
  </sheetData>
  <printOptions horizontalCentered="1"/>
  <pageMargins left="0.25" right="0.25" top="0.75" bottom="0.75" header="0.3" footer="0.3"/>
  <pageSetup scale="97" orientation="portrait" r:id="rId1"/>
  <headerFooter>
    <oddHeader>&amp;C&amp;F</oddHeader>
    <oddFooter>&amp;C&amp;A&amp;R&amp;D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35453-9353-4264-A6A0-C56A9BC53C7A}">
  <sheetPr>
    <pageSetUpPr fitToPage="1"/>
  </sheetPr>
  <dimension ref="A1:G52"/>
  <sheetViews>
    <sheetView workbookViewId="0">
      <selection activeCell="L20" sqref="L20"/>
    </sheetView>
  </sheetViews>
  <sheetFormatPr defaultColWidth="8" defaultRowHeight="12.75" x14ac:dyDescent="0.2"/>
  <cols>
    <col min="1" max="1" width="3.75" style="24" customWidth="1"/>
    <col min="2" max="2" width="9.875" style="24" bestFit="1" customWidth="1"/>
    <col min="3" max="3" width="8.125" style="26" bestFit="1" customWidth="1"/>
    <col min="4" max="4" width="5.25" style="24" bestFit="1" customWidth="1"/>
    <col min="5" max="5" width="5.75" style="24" bestFit="1" customWidth="1"/>
    <col min="6" max="6" width="5.625" style="117" bestFit="1" customWidth="1"/>
    <col min="7" max="7" width="15.5" style="119" customWidth="1"/>
    <col min="8" max="16384" width="8" style="24"/>
  </cols>
  <sheetData>
    <row r="1" spans="1:7" s="112" customFormat="1" ht="25.5" x14ac:dyDescent="0.2">
      <c r="A1" s="23" t="s">
        <v>0</v>
      </c>
      <c r="B1" s="23" t="s">
        <v>32</v>
      </c>
      <c r="C1" s="23" t="s">
        <v>3</v>
      </c>
      <c r="D1" s="23" t="s">
        <v>33</v>
      </c>
      <c r="E1" s="23" t="s">
        <v>34</v>
      </c>
      <c r="F1" s="27" t="s">
        <v>73</v>
      </c>
      <c r="G1" s="23" t="s">
        <v>2</v>
      </c>
    </row>
    <row r="2" spans="1:7" x14ac:dyDescent="0.2">
      <c r="B2" s="26" t="s">
        <v>36</v>
      </c>
      <c r="C2" s="26" t="s">
        <v>21</v>
      </c>
      <c r="D2" s="26">
        <v>1</v>
      </c>
      <c r="E2" s="26">
        <v>2</v>
      </c>
      <c r="F2" s="22">
        <v>3.4700000000000002E-2</v>
      </c>
    </row>
    <row r="3" spans="1:7" x14ac:dyDescent="0.2">
      <c r="B3" s="26" t="s">
        <v>36</v>
      </c>
      <c r="C3" s="26" t="s">
        <v>21</v>
      </c>
      <c r="D3" s="26">
        <v>1</v>
      </c>
      <c r="E3" s="26">
        <v>4</v>
      </c>
      <c r="F3" s="22">
        <v>3.0200000000000001E-2</v>
      </c>
    </row>
    <row r="4" spans="1:7" x14ac:dyDescent="0.2">
      <c r="B4" s="26" t="s">
        <v>36</v>
      </c>
      <c r="C4" s="26" t="s">
        <v>21</v>
      </c>
      <c r="D4" s="26">
        <v>1</v>
      </c>
      <c r="E4" s="26">
        <v>8</v>
      </c>
      <c r="F4" s="22">
        <v>3.2500000000000001E-2</v>
      </c>
    </row>
    <row r="5" spans="1:7" x14ac:dyDescent="0.2">
      <c r="B5" s="26" t="s">
        <v>36</v>
      </c>
      <c r="C5" s="26" t="s">
        <v>21</v>
      </c>
      <c r="D5" s="26">
        <v>1</v>
      </c>
      <c r="E5" s="26">
        <v>13</v>
      </c>
      <c r="F5" s="22">
        <v>3.5200000000000002E-2</v>
      </c>
    </row>
    <row r="6" spans="1:7" x14ac:dyDescent="0.2">
      <c r="B6" s="26" t="s">
        <v>36</v>
      </c>
      <c r="C6" s="26" t="s">
        <v>21</v>
      </c>
      <c r="D6" s="26">
        <v>1</v>
      </c>
      <c r="E6" s="26">
        <v>21</v>
      </c>
      <c r="F6" s="22">
        <v>2.4199999999999999E-2</v>
      </c>
    </row>
    <row r="7" spans="1:7" x14ac:dyDescent="0.2">
      <c r="B7" s="26" t="s">
        <v>36</v>
      </c>
      <c r="C7" s="26" t="s">
        <v>21</v>
      </c>
      <c r="D7" s="26">
        <v>1</v>
      </c>
      <c r="E7" s="26">
        <v>27</v>
      </c>
      <c r="F7" s="22">
        <v>4.1000000000000002E-2</v>
      </c>
    </row>
    <row r="8" spans="1:7" x14ac:dyDescent="0.2">
      <c r="B8" s="26" t="s">
        <v>36</v>
      </c>
      <c r="C8" s="26" t="s">
        <v>21</v>
      </c>
      <c r="D8" s="26">
        <v>1</v>
      </c>
      <c r="E8" s="26">
        <v>30</v>
      </c>
      <c r="F8" s="22">
        <v>2.9499999999999998E-2</v>
      </c>
    </row>
    <row r="9" spans="1:7" x14ac:dyDescent="0.2">
      <c r="B9" s="26" t="s">
        <v>36</v>
      </c>
      <c r="C9" s="26" t="s">
        <v>21</v>
      </c>
      <c r="D9" s="26">
        <v>1</v>
      </c>
      <c r="E9" s="26">
        <v>31</v>
      </c>
      <c r="F9" s="22">
        <v>4.2299999999999997E-2</v>
      </c>
    </row>
    <row r="10" spans="1:7" x14ac:dyDescent="0.2">
      <c r="B10" s="26" t="s">
        <v>36</v>
      </c>
      <c r="C10" s="26" t="s">
        <v>21</v>
      </c>
      <c r="D10" s="26">
        <v>1</v>
      </c>
      <c r="E10" s="26">
        <v>34</v>
      </c>
      <c r="F10" s="22">
        <v>3.9199999999999999E-2</v>
      </c>
    </row>
    <row r="11" spans="1:7" x14ac:dyDescent="0.2">
      <c r="A11" s="106">
        <f>COUNT(F2:F11)</f>
        <v>10</v>
      </c>
      <c r="B11" s="106" t="s">
        <v>36</v>
      </c>
      <c r="C11" s="106" t="s">
        <v>21</v>
      </c>
      <c r="D11" s="106">
        <v>1</v>
      </c>
      <c r="E11" s="106">
        <v>39</v>
      </c>
      <c r="F11" s="118">
        <v>0.06</v>
      </c>
      <c r="G11" s="128"/>
    </row>
    <row r="12" spans="1:7" x14ac:dyDescent="0.2">
      <c r="B12" s="129" t="s">
        <v>36</v>
      </c>
      <c r="C12" s="26" t="s">
        <v>1</v>
      </c>
      <c r="D12" s="129">
        <v>2</v>
      </c>
      <c r="E12" s="129">
        <v>5</v>
      </c>
      <c r="F12" s="22">
        <v>2.8500000000000001E-2</v>
      </c>
    </row>
    <row r="13" spans="1:7" x14ac:dyDescent="0.2">
      <c r="B13" s="26" t="s">
        <v>36</v>
      </c>
      <c r="C13" s="26" t="s">
        <v>1</v>
      </c>
      <c r="D13" s="26">
        <v>2</v>
      </c>
      <c r="E13" s="26">
        <v>15</v>
      </c>
      <c r="F13" s="22">
        <v>2.1100000000000001E-2</v>
      </c>
    </row>
    <row r="14" spans="1:7" x14ac:dyDescent="0.2">
      <c r="B14" s="26" t="s">
        <v>36</v>
      </c>
      <c r="C14" s="26" t="s">
        <v>1</v>
      </c>
      <c r="D14" s="26">
        <v>2</v>
      </c>
      <c r="E14" s="26">
        <v>20</v>
      </c>
      <c r="F14" s="22">
        <v>3.6999999999999998E-2</v>
      </c>
    </row>
    <row r="15" spans="1:7" x14ac:dyDescent="0.2">
      <c r="B15" s="26" t="s">
        <v>36</v>
      </c>
      <c r="C15" s="26" t="s">
        <v>1</v>
      </c>
      <c r="D15" s="26">
        <v>2</v>
      </c>
      <c r="E15" s="26">
        <v>26</v>
      </c>
      <c r="F15" s="22">
        <v>2.9000000000000001E-2</v>
      </c>
    </row>
    <row r="16" spans="1:7" x14ac:dyDescent="0.2">
      <c r="B16" s="26" t="s">
        <v>36</v>
      </c>
      <c r="C16" s="26" t="s">
        <v>1</v>
      </c>
      <c r="D16" s="26">
        <v>2</v>
      </c>
      <c r="E16" s="26">
        <v>29</v>
      </c>
      <c r="F16" s="22">
        <v>1.6299999999999999E-2</v>
      </c>
    </row>
    <row r="17" spans="1:7" x14ac:dyDescent="0.2">
      <c r="B17" s="26" t="s">
        <v>36</v>
      </c>
      <c r="C17" s="26" t="s">
        <v>1</v>
      </c>
      <c r="D17" s="26">
        <v>2</v>
      </c>
      <c r="E17" s="26">
        <v>32</v>
      </c>
      <c r="F17" s="22">
        <v>2.3599999999999999E-2</v>
      </c>
    </row>
    <row r="18" spans="1:7" x14ac:dyDescent="0.2">
      <c r="B18" s="26" t="s">
        <v>36</v>
      </c>
      <c r="C18" s="26" t="s">
        <v>1</v>
      </c>
      <c r="D18" s="26">
        <v>2</v>
      </c>
      <c r="E18" s="26">
        <v>36</v>
      </c>
      <c r="F18" s="22">
        <v>1.8499999999999999E-2</v>
      </c>
    </row>
    <row r="19" spans="1:7" x14ac:dyDescent="0.2">
      <c r="B19" s="26" t="s">
        <v>36</v>
      </c>
      <c r="C19" s="26" t="s">
        <v>1</v>
      </c>
      <c r="D19" s="26">
        <v>2</v>
      </c>
      <c r="E19" s="26">
        <v>42</v>
      </c>
      <c r="F19" s="22">
        <v>2.3699999999999999E-2</v>
      </c>
    </row>
    <row r="20" spans="1:7" x14ac:dyDescent="0.2">
      <c r="B20" s="26" t="s">
        <v>36</v>
      </c>
      <c r="C20" s="26" t="s">
        <v>1</v>
      </c>
      <c r="D20" s="26">
        <v>2</v>
      </c>
      <c r="E20" s="26">
        <v>43</v>
      </c>
      <c r="F20" s="22">
        <v>2.8000000000000001E-2</v>
      </c>
    </row>
    <row r="21" spans="1:7" x14ac:dyDescent="0.2">
      <c r="A21" s="106">
        <f>COUNT(F12:F21)</f>
        <v>10</v>
      </c>
      <c r="B21" s="106" t="s">
        <v>36</v>
      </c>
      <c r="C21" s="106" t="s">
        <v>1</v>
      </c>
      <c r="D21" s="106">
        <v>2</v>
      </c>
      <c r="E21" s="106">
        <v>46</v>
      </c>
      <c r="F21" s="118">
        <v>1.8700000000000001E-2</v>
      </c>
      <c r="G21" s="128"/>
    </row>
    <row r="22" spans="1:7" x14ac:dyDescent="0.2">
      <c r="B22" s="129" t="s">
        <v>36</v>
      </c>
      <c r="C22" s="26" t="s">
        <v>22</v>
      </c>
      <c r="D22" s="129">
        <v>3</v>
      </c>
      <c r="E22" s="129">
        <v>1</v>
      </c>
      <c r="F22" s="22">
        <v>1.89E-2</v>
      </c>
    </row>
    <row r="23" spans="1:7" x14ac:dyDescent="0.2">
      <c r="B23" s="26" t="s">
        <v>36</v>
      </c>
      <c r="C23" s="26" t="s">
        <v>22</v>
      </c>
      <c r="D23" s="26">
        <v>3</v>
      </c>
      <c r="E23" s="26">
        <v>16</v>
      </c>
      <c r="F23" s="22">
        <v>1.7000000000000001E-2</v>
      </c>
    </row>
    <row r="24" spans="1:7" x14ac:dyDescent="0.2">
      <c r="B24" s="26" t="s">
        <v>36</v>
      </c>
      <c r="C24" s="26" t="s">
        <v>22</v>
      </c>
      <c r="D24" s="26">
        <v>3</v>
      </c>
      <c r="E24" s="26">
        <v>19</v>
      </c>
      <c r="F24" s="22">
        <v>1.7100000000000001E-2</v>
      </c>
    </row>
    <row r="25" spans="1:7" x14ac:dyDescent="0.2">
      <c r="B25" s="26" t="s">
        <v>36</v>
      </c>
      <c r="C25" s="26" t="s">
        <v>22</v>
      </c>
      <c r="D25" s="26">
        <v>3</v>
      </c>
      <c r="E25" s="26">
        <v>22</v>
      </c>
      <c r="F25" s="22">
        <v>2.46E-2</v>
      </c>
    </row>
    <row r="26" spans="1:7" x14ac:dyDescent="0.2">
      <c r="B26" s="26" t="s">
        <v>36</v>
      </c>
      <c r="C26" s="26" t="s">
        <v>22</v>
      </c>
      <c r="D26" s="26">
        <v>3</v>
      </c>
      <c r="E26" s="26">
        <v>25</v>
      </c>
      <c r="F26" s="22">
        <v>3.8899999999999997E-2</v>
      </c>
    </row>
    <row r="27" spans="1:7" x14ac:dyDescent="0.2">
      <c r="B27" s="26" t="s">
        <v>36</v>
      </c>
      <c r="C27" s="26" t="s">
        <v>22</v>
      </c>
      <c r="D27" s="26">
        <v>3</v>
      </c>
      <c r="E27" s="26">
        <v>28</v>
      </c>
      <c r="F27" s="22">
        <v>2.7799999999999998E-2</v>
      </c>
    </row>
    <row r="28" spans="1:7" x14ac:dyDescent="0.2">
      <c r="B28" s="26" t="s">
        <v>36</v>
      </c>
      <c r="C28" s="26" t="s">
        <v>22</v>
      </c>
      <c r="D28" s="26">
        <v>3</v>
      </c>
      <c r="E28" s="26">
        <v>38</v>
      </c>
      <c r="F28" s="22">
        <v>2.3199999999999998E-2</v>
      </c>
    </row>
    <row r="29" spans="1:7" x14ac:dyDescent="0.2">
      <c r="B29" s="26" t="s">
        <v>36</v>
      </c>
      <c r="C29" s="26" t="s">
        <v>22</v>
      </c>
      <c r="D29" s="26">
        <v>3</v>
      </c>
      <c r="E29" s="26">
        <v>40</v>
      </c>
      <c r="F29" s="22">
        <v>2.4500000000000001E-2</v>
      </c>
    </row>
    <row r="30" spans="1:7" x14ac:dyDescent="0.2">
      <c r="B30" s="26" t="s">
        <v>36</v>
      </c>
      <c r="C30" s="26" t="s">
        <v>22</v>
      </c>
      <c r="D30" s="26">
        <v>3</v>
      </c>
      <c r="E30" s="26">
        <v>41</v>
      </c>
      <c r="F30" s="22"/>
      <c r="G30" s="119" t="s">
        <v>74</v>
      </c>
    </row>
    <row r="31" spans="1:7" x14ac:dyDescent="0.2">
      <c r="A31" s="106">
        <f>COUNT(F22:F31)</f>
        <v>9</v>
      </c>
      <c r="B31" s="106" t="s">
        <v>36</v>
      </c>
      <c r="C31" s="106" t="s">
        <v>22</v>
      </c>
      <c r="D31" s="106">
        <v>3</v>
      </c>
      <c r="E31" s="106">
        <v>48</v>
      </c>
      <c r="F31" s="118">
        <v>2.53E-2</v>
      </c>
      <c r="G31" s="128"/>
    </row>
    <row r="32" spans="1:7" x14ac:dyDescent="0.2">
      <c r="B32" s="129" t="s">
        <v>37</v>
      </c>
      <c r="C32" s="26" t="s">
        <v>1</v>
      </c>
      <c r="D32" s="129">
        <v>4</v>
      </c>
      <c r="E32" s="129">
        <v>7</v>
      </c>
      <c r="F32" s="22">
        <v>2.12E-2</v>
      </c>
    </row>
    <row r="33" spans="1:7" x14ac:dyDescent="0.2">
      <c r="B33" s="26" t="s">
        <v>37</v>
      </c>
      <c r="C33" s="26" t="s">
        <v>1</v>
      </c>
      <c r="D33" s="26">
        <v>4</v>
      </c>
      <c r="E33" s="26">
        <v>11</v>
      </c>
      <c r="F33" s="22">
        <v>4.3499999999999997E-2</v>
      </c>
    </row>
    <row r="34" spans="1:7" x14ac:dyDescent="0.2">
      <c r="B34" s="26" t="s">
        <v>37</v>
      </c>
      <c r="C34" s="26" t="s">
        <v>1</v>
      </c>
      <c r="D34" s="26">
        <v>4</v>
      </c>
      <c r="E34" s="26">
        <v>14</v>
      </c>
      <c r="F34" s="22">
        <v>1.8499999999999999E-2</v>
      </c>
    </row>
    <row r="35" spans="1:7" x14ac:dyDescent="0.2">
      <c r="B35" s="26" t="s">
        <v>37</v>
      </c>
      <c r="C35" s="26" t="s">
        <v>1</v>
      </c>
      <c r="D35" s="26">
        <v>4</v>
      </c>
      <c r="E35" s="26">
        <v>18</v>
      </c>
      <c r="F35" s="22">
        <v>1.21E-2</v>
      </c>
    </row>
    <row r="36" spans="1:7" x14ac:dyDescent="0.2">
      <c r="B36" s="26" t="s">
        <v>37</v>
      </c>
      <c r="C36" s="26" t="s">
        <v>1</v>
      </c>
      <c r="D36" s="26">
        <v>4</v>
      </c>
      <c r="E36" s="26">
        <v>23</v>
      </c>
      <c r="F36" s="22">
        <v>2.52E-2</v>
      </c>
    </row>
    <row r="37" spans="1:7" x14ac:dyDescent="0.2">
      <c r="B37" s="26" t="s">
        <v>37</v>
      </c>
      <c r="C37" s="26" t="s">
        <v>1</v>
      </c>
      <c r="D37" s="26">
        <v>4</v>
      </c>
      <c r="E37" s="26">
        <v>33</v>
      </c>
      <c r="F37" s="22">
        <v>2.18E-2</v>
      </c>
    </row>
    <row r="38" spans="1:7" x14ac:dyDescent="0.2">
      <c r="B38" s="26" t="s">
        <v>37</v>
      </c>
      <c r="C38" s="26" t="s">
        <v>1</v>
      </c>
      <c r="D38" s="26">
        <v>4</v>
      </c>
      <c r="E38" s="26">
        <v>37</v>
      </c>
      <c r="F38" s="22">
        <v>2.3599999999999999E-2</v>
      </c>
    </row>
    <row r="39" spans="1:7" x14ac:dyDescent="0.2">
      <c r="B39" s="26" t="s">
        <v>37</v>
      </c>
      <c r="C39" s="26" t="s">
        <v>1</v>
      </c>
      <c r="D39" s="26">
        <v>4</v>
      </c>
      <c r="E39" s="26">
        <v>45</v>
      </c>
      <c r="F39" s="22">
        <v>2.3099999999999999E-2</v>
      </c>
    </row>
    <row r="40" spans="1:7" x14ac:dyDescent="0.2">
      <c r="B40" s="26" t="s">
        <v>37</v>
      </c>
      <c r="C40" s="26" t="s">
        <v>1</v>
      </c>
      <c r="D40" s="26">
        <v>4</v>
      </c>
      <c r="E40" s="26">
        <v>47</v>
      </c>
      <c r="F40" s="22">
        <v>3.1199999999999999E-2</v>
      </c>
    </row>
    <row r="41" spans="1:7" x14ac:dyDescent="0.2">
      <c r="A41" s="106">
        <f>COUNT(F32:F41)</f>
        <v>10</v>
      </c>
      <c r="B41" s="106" t="s">
        <v>37</v>
      </c>
      <c r="C41" s="106" t="s">
        <v>1</v>
      </c>
      <c r="D41" s="106">
        <v>4</v>
      </c>
      <c r="E41" s="106">
        <v>50</v>
      </c>
      <c r="F41" s="118">
        <v>2.75E-2</v>
      </c>
      <c r="G41" s="128"/>
    </row>
    <row r="42" spans="1:7" x14ac:dyDescent="0.2">
      <c r="B42" s="129" t="s">
        <v>37</v>
      </c>
      <c r="C42" s="26" t="s">
        <v>22</v>
      </c>
      <c r="D42" s="129">
        <v>5</v>
      </c>
      <c r="E42" s="129">
        <v>3</v>
      </c>
      <c r="F42" s="117">
        <v>2.2800000000000001E-2</v>
      </c>
    </row>
    <row r="43" spans="1:7" x14ac:dyDescent="0.2">
      <c r="B43" s="26" t="s">
        <v>37</v>
      </c>
      <c r="C43" s="26" t="s">
        <v>22</v>
      </c>
      <c r="D43" s="26">
        <v>5</v>
      </c>
      <c r="E43" s="26">
        <v>6</v>
      </c>
      <c r="F43" s="22">
        <v>1.55E-2</v>
      </c>
    </row>
    <row r="44" spans="1:7" x14ac:dyDescent="0.2">
      <c r="B44" s="26" t="s">
        <v>37</v>
      </c>
      <c r="C44" s="26" t="s">
        <v>22</v>
      </c>
      <c r="D44" s="26">
        <v>5</v>
      </c>
      <c r="E44" s="26">
        <v>9</v>
      </c>
      <c r="F44" s="22">
        <v>2.1399999999999999E-2</v>
      </c>
    </row>
    <row r="45" spans="1:7" x14ac:dyDescent="0.2">
      <c r="B45" s="26" t="s">
        <v>37</v>
      </c>
      <c r="C45" s="26" t="s">
        <v>22</v>
      </c>
      <c r="D45" s="26">
        <v>5</v>
      </c>
      <c r="E45" s="26">
        <v>10</v>
      </c>
      <c r="F45" s="22">
        <v>2.07E-2</v>
      </c>
    </row>
    <row r="46" spans="1:7" x14ac:dyDescent="0.2">
      <c r="B46" s="26" t="s">
        <v>37</v>
      </c>
      <c r="C46" s="26" t="s">
        <v>22</v>
      </c>
      <c r="D46" s="26">
        <v>5</v>
      </c>
      <c r="E46" s="26">
        <v>12</v>
      </c>
      <c r="F46" s="22">
        <v>2.7E-2</v>
      </c>
    </row>
    <row r="47" spans="1:7" x14ac:dyDescent="0.2">
      <c r="B47" s="26" t="s">
        <v>37</v>
      </c>
      <c r="C47" s="26" t="s">
        <v>22</v>
      </c>
      <c r="D47" s="26">
        <v>5</v>
      </c>
      <c r="E47" s="26">
        <v>17</v>
      </c>
      <c r="F47" s="22">
        <v>2.7699999999999999E-2</v>
      </c>
    </row>
    <row r="48" spans="1:7" x14ac:dyDescent="0.2">
      <c r="B48" s="26" t="s">
        <v>37</v>
      </c>
      <c r="C48" s="26" t="s">
        <v>22</v>
      </c>
      <c r="D48" s="26">
        <v>5</v>
      </c>
      <c r="E48" s="26">
        <v>24</v>
      </c>
      <c r="F48" s="22">
        <v>1.9900000000000001E-2</v>
      </c>
    </row>
    <row r="49" spans="1:7" x14ac:dyDescent="0.2">
      <c r="B49" s="26" t="s">
        <v>37</v>
      </c>
      <c r="C49" s="26" t="s">
        <v>22</v>
      </c>
      <c r="D49" s="26">
        <v>5</v>
      </c>
      <c r="E49" s="26">
        <v>35</v>
      </c>
      <c r="F49" s="22">
        <v>2.87E-2</v>
      </c>
    </row>
    <row r="50" spans="1:7" x14ac:dyDescent="0.2">
      <c r="B50" s="26" t="s">
        <v>37</v>
      </c>
      <c r="C50" s="26" t="s">
        <v>22</v>
      </c>
      <c r="D50" s="26">
        <v>5</v>
      </c>
      <c r="E50" s="26">
        <v>44</v>
      </c>
      <c r="F50" s="22">
        <v>2.29E-2</v>
      </c>
    </row>
    <row r="51" spans="1:7" x14ac:dyDescent="0.2">
      <c r="A51" s="106">
        <f>COUNT(F42:F51)</f>
        <v>10</v>
      </c>
      <c r="B51" s="106" t="s">
        <v>37</v>
      </c>
      <c r="C51" s="106" t="s">
        <v>22</v>
      </c>
      <c r="D51" s="106">
        <v>5</v>
      </c>
      <c r="E51" s="106">
        <v>49</v>
      </c>
      <c r="F51" s="118">
        <v>2.5499999999999998E-2</v>
      </c>
      <c r="G51" s="128"/>
    </row>
    <row r="52" spans="1:7" x14ac:dyDescent="0.2">
      <c r="A52" s="24">
        <f>COUNT(F2:F51)</f>
        <v>49</v>
      </c>
    </row>
  </sheetData>
  <printOptions horizontalCentered="1"/>
  <pageMargins left="0.25" right="0.25" top="0.75" bottom="0.75" header="0.3" footer="0.3"/>
  <pageSetup scale="99" orientation="portrait" r:id="rId1"/>
  <headerFooter>
    <oddHeader>&amp;F</oddHeader>
    <oddFooter>&amp;C&amp;A&amp;R&amp;D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72"/>
  <sheetViews>
    <sheetView workbookViewId="0">
      <selection activeCell="J11" sqref="J11"/>
    </sheetView>
  </sheetViews>
  <sheetFormatPr defaultColWidth="8" defaultRowHeight="12.75" x14ac:dyDescent="0.2"/>
  <cols>
    <col min="1" max="1" width="3.75" style="7" customWidth="1"/>
    <col min="2" max="2" width="9.875" style="7" bestFit="1" customWidth="1"/>
    <col min="3" max="3" width="8.125" style="7" bestFit="1" customWidth="1"/>
    <col min="4" max="4" width="5.25" style="7" bestFit="1" customWidth="1"/>
    <col min="5" max="5" width="5.75" style="7" bestFit="1" customWidth="1"/>
    <col min="6" max="6" width="6.625" style="8" customWidth="1"/>
    <col min="7" max="7" width="6" style="109" customWidth="1"/>
    <col min="8" max="16384" width="8" style="7"/>
  </cols>
  <sheetData>
    <row r="1" spans="1:7" s="15" customFormat="1" ht="63.75" customHeight="1" x14ac:dyDescent="0.2">
      <c r="A1" s="28" t="s">
        <v>0</v>
      </c>
      <c r="B1" s="28" t="s">
        <v>32</v>
      </c>
      <c r="C1" s="28" t="s">
        <v>3</v>
      </c>
      <c r="D1" s="28" t="s">
        <v>33</v>
      </c>
      <c r="E1" s="28" t="s">
        <v>34</v>
      </c>
      <c r="F1" s="1" t="s">
        <v>38</v>
      </c>
      <c r="G1" s="23" t="s">
        <v>75</v>
      </c>
    </row>
    <row r="2" spans="1:7" ht="12.95" customHeight="1" x14ac:dyDescent="0.2">
      <c r="B2" s="7" t="s">
        <v>36</v>
      </c>
      <c r="C2" s="7" t="s">
        <v>21</v>
      </c>
      <c r="D2" s="7">
        <v>1</v>
      </c>
      <c r="E2" s="7">
        <v>2</v>
      </c>
      <c r="F2" s="19">
        <v>14.404500000000001</v>
      </c>
      <c r="G2" s="109">
        <v>13.5</v>
      </c>
    </row>
    <row r="3" spans="1:7" ht="12.95" customHeight="1" x14ac:dyDescent="0.2">
      <c r="B3" s="7" t="s">
        <v>36</v>
      </c>
      <c r="C3" s="7" t="s">
        <v>21</v>
      </c>
      <c r="D3" s="7">
        <v>1</v>
      </c>
      <c r="E3" s="7">
        <v>4</v>
      </c>
      <c r="F3" s="19">
        <v>14.626899999999999</v>
      </c>
      <c r="G3" s="109">
        <v>13.6</v>
      </c>
    </row>
    <row r="4" spans="1:7" ht="12.95" customHeight="1" x14ac:dyDescent="0.2">
      <c r="B4" s="7" t="s">
        <v>36</v>
      </c>
      <c r="C4" s="7" t="s">
        <v>21</v>
      </c>
      <c r="D4" s="7">
        <v>1</v>
      </c>
      <c r="E4" s="7">
        <v>8</v>
      </c>
      <c r="F4" s="19">
        <v>14.4581</v>
      </c>
      <c r="G4" s="110">
        <v>14.1</v>
      </c>
    </row>
    <row r="5" spans="1:7" ht="12.95" customHeight="1" x14ac:dyDescent="0.2">
      <c r="B5" s="7" t="s">
        <v>36</v>
      </c>
      <c r="C5" s="7" t="s">
        <v>21</v>
      </c>
      <c r="D5" s="7">
        <v>1</v>
      </c>
      <c r="E5" s="7">
        <v>13</v>
      </c>
      <c r="F5" s="19">
        <v>13.7986</v>
      </c>
      <c r="G5" s="109">
        <v>13.8</v>
      </c>
    </row>
    <row r="6" spans="1:7" ht="12.95" customHeight="1" x14ac:dyDescent="0.2">
      <c r="B6" s="7" t="s">
        <v>36</v>
      </c>
      <c r="C6" s="7" t="s">
        <v>21</v>
      </c>
      <c r="D6" s="7">
        <v>1</v>
      </c>
      <c r="E6" s="7">
        <v>21</v>
      </c>
      <c r="F6" s="19">
        <v>13.712300000000001</v>
      </c>
      <c r="G6" s="109">
        <v>13.3</v>
      </c>
    </row>
    <row r="7" spans="1:7" ht="12.95" customHeight="1" x14ac:dyDescent="0.2">
      <c r="B7" s="7" t="s">
        <v>36</v>
      </c>
      <c r="C7" s="7" t="s">
        <v>21</v>
      </c>
      <c r="D7" s="7">
        <v>1</v>
      </c>
      <c r="E7" s="7">
        <v>27</v>
      </c>
      <c r="F7" s="19">
        <v>15.1999</v>
      </c>
      <c r="G7" s="109">
        <v>13.5</v>
      </c>
    </row>
    <row r="8" spans="1:7" ht="12.95" customHeight="1" x14ac:dyDescent="0.2">
      <c r="B8" s="7" t="s">
        <v>36</v>
      </c>
      <c r="C8" s="7" t="s">
        <v>21</v>
      </c>
      <c r="D8" s="7">
        <v>1</v>
      </c>
      <c r="E8" s="7">
        <v>30</v>
      </c>
      <c r="F8" s="8">
        <v>14.5038</v>
      </c>
      <c r="G8" s="5">
        <v>13.6</v>
      </c>
    </row>
    <row r="9" spans="1:7" ht="12.95" customHeight="1" x14ac:dyDescent="0.2">
      <c r="B9" s="7" t="s">
        <v>36</v>
      </c>
      <c r="C9" s="7" t="s">
        <v>21</v>
      </c>
      <c r="D9" s="7">
        <v>1</v>
      </c>
      <c r="E9" s="7">
        <v>31</v>
      </c>
      <c r="F9" s="19">
        <v>12.6373</v>
      </c>
      <c r="G9" s="109">
        <v>13.3</v>
      </c>
    </row>
    <row r="10" spans="1:7" ht="12.95" customHeight="1" x14ac:dyDescent="0.2">
      <c r="B10" s="7" t="s">
        <v>36</v>
      </c>
      <c r="C10" s="7" t="s">
        <v>21</v>
      </c>
      <c r="D10" s="7">
        <v>1</v>
      </c>
      <c r="E10" s="7">
        <v>34</v>
      </c>
      <c r="F10" s="19">
        <v>13.3857</v>
      </c>
      <c r="G10" s="109">
        <v>13.4</v>
      </c>
    </row>
    <row r="11" spans="1:7" ht="12.95" customHeight="1" x14ac:dyDescent="0.2">
      <c r="A11" s="10">
        <f>COUNT(F2:F11)</f>
        <v>10</v>
      </c>
      <c r="B11" s="10" t="s">
        <v>36</v>
      </c>
      <c r="C11" s="10" t="s">
        <v>21</v>
      </c>
      <c r="D11" s="10">
        <v>1</v>
      </c>
      <c r="E11" s="10">
        <v>39</v>
      </c>
      <c r="F11" s="11">
        <v>16.2272</v>
      </c>
      <c r="G11" s="25">
        <v>14.1</v>
      </c>
    </row>
    <row r="12" spans="1:7" ht="12.95" customHeight="1" x14ac:dyDescent="0.2">
      <c r="B12" s="7" t="s">
        <v>36</v>
      </c>
      <c r="C12" s="7" t="s">
        <v>1</v>
      </c>
      <c r="D12" s="7">
        <v>2</v>
      </c>
      <c r="E12" s="7">
        <v>5</v>
      </c>
      <c r="F12" s="19">
        <v>15.5207</v>
      </c>
      <c r="G12" s="109">
        <v>13.9</v>
      </c>
    </row>
    <row r="13" spans="1:7" ht="12.95" customHeight="1" x14ac:dyDescent="0.2">
      <c r="B13" s="7" t="s">
        <v>36</v>
      </c>
      <c r="C13" s="7" t="s">
        <v>1</v>
      </c>
      <c r="D13" s="7">
        <v>2</v>
      </c>
      <c r="E13" s="7">
        <v>15</v>
      </c>
      <c r="F13" s="19">
        <v>14.5312</v>
      </c>
      <c r="G13" s="109">
        <v>13.6</v>
      </c>
    </row>
    <row r="14" spans="1:7" ht="12.95" customHeight="1" x14ac:dyDescent="0.2">
      <c r="B14" s="7" t="s">
        <v>36</v>
      </c>
      <c r="C14" s="7" t="s">
        <v>1</v>
      </c>
      <c r="D14" s="7">
        <v>2</v>
      </c>
      <c r="E14" s="7">
        <v>20</v>
      </c>
      <c r="F14" s="8">
        <v>14.6637</v>
      </c>
      <c r="G14" s="5">
        <v>13.6</v>
      </c>
    </row>
    <row r="15" spans="1:7" ht="12.95" customHeight="1" x14ac:dyDescent="0.2">
      <c r="B15" s="7" t="s">
        <v>36</v>
      </c>
      <c r="C15" s="7" t="s">
        <v>1</v>
      </c>
      <c r="D15" s="7">
        <v>2</v>
      </c>
      <c r="E15" s="7">
        <v>26</v>
      </c>
      <c r="F15" s="19">
        <v>15.765599999999999</v>
      </c>
      <c r="G15" s="109">
        <v>13.9</v>
      </c>
    </row>
    <row r="16" spans="1:7" ht="12.95" customHeight="1" x14ac:dyDescent="0.2">
      <c r="B16" s="7" t="s">
        <v>36</v>
      </c>
      <c r="C16" s="7" t="s">
        <v>1</v>
      </c>
      <c r="D16" s="7">
        <v>2</v>
      </c>
      <c r="E16" s="7">
        <v>29</v>
      </c>
      <c r="F16" s="19">
        <v>13.8445</v>
      </c>
      <c r="G16" s="109">
        <v>13.6</v>
      </c>
    </row>
    <row r="17" spans="1:7" ht="12.95" customHeight="1" x14ac:dyDescent="0.2">
      <c r="B17" s="7" t="s">
        <v>36</v>
      </c>
      <c r="C17" s="7" t="s">
        <v>1</v>
      </c>
      <c r="D17" s="7">
        <v>2</v>
      </c>
      <c r="E17" s="7">
        <v>32</v>
      </c>
      <c r="F17" s="19">
        <v>13.934900000000001</v>
      </c>
      <c r="G17" s="109">
        <v>13.7</v>
      </c>
    </row>
    <row r="18" spans="1:7" ht="12.95" customHeight="1" x14ac:dyDescent="0.2">
      <c r="B18" s="7" t="s">
        <v>36</v>
      </c>
      <c r="C18" s="7" t="s">
        <v>1</v>
      </c>
      <c r="D18" s="7">
        <v>2</v>
      </c>
      <c r="E18" s="7">
        <v>36</v>
      </c>
      <c r="F18" s="19">
        <v>14.7082</v>
      </c>
      <c r="G18" s="109">
        <v>13.6</v>
      </c>
    </row>
    <row r="19" spans="1:7" ht="12.95" customHeight="1" x14ac:dyDescent="0.2">
      <c r="B19" s="7" t="s">
        <v>36</v>
      </c>
      <c r="C19" s="7" t="s">
        <v>1</v>
      </c>
      <c r="D19" s="7">
        <v>2</v>
      </c>
      <c r="E19" s="7">
        <v>42</v>
      </c>
      <c r="F19" s="19">
        <v>15.4488</v>
      </c>
      <c r="G19" s="109">
        <v>13.7</v>
      </c>
    </row>
    <row r="20" spans="1:7" ht="12.95" customHeight="1" x14ac:dyDescent="0.2">
      <c r="B20" s="7" t="s">
        <v>36</v>
      </c>
      <c r="C20" s="7" t="s">
        <v>1</v>
      </c>
      <c r="D20" s="7">
        <v>2</v>
      </c>
      <c r="E20" s="7">
        <v>43</v>
      </c>
      <c r="F20" s="19">
        <v>16.627500000000001</v>
      </c>
      <c r="G20" s="109">
        <v>14</v>
      </c>
    </row>
    <row r="21" spans="1:7" ht="12.95" customHeight="1" x14ac:dyDescent="0.2">
      <c r="A21" s="10">
        <f>COUNT(F12:F21)</f>
        <v>10</v>
      </c>
      <c r="B21" s="10" t="s">
        <v>36</v>
      </c>
      <c r="C21" s="10" t="s">
        <v>1</v>
      </c>
      <c r="D21" s="10">
        <v>2</v>
      </c>
      <c r="E21" s="10">
        <v>46</v>
      </c>
      <c r="F21" s="11">
        <v>13.863200000000001</v>
      </c>
      <c r="G21" s="25">
        <v>13.4</v>
      </c>
    </row>
    <row r="22" spans="1:7" ht="12.95" customHeight="1" x14ac:dyDescent="0.2">
      <c r="B22" s="7" t="s">
        <v>36</v>
      </c>
      <c r="C22" s="7" t="s">
        <v>22</v>
      </c>
      <c r="D22" s="7">
        <v>3</v>
      </c>
      <c r="E22" s="7">
        <v>1</v>
      </c>
      <c r="F22" s="19">
        <v>10.6472</v>
      </c>
      <c r="G22" s="109">
        <v>13.6</v>
      </c>
    </row>
    <row r="23" spans="1:7" ht="12.95" customHeight="1" x14ac:dyDescent="0.2">
      <c r="B23" s="7" t="s">
        <v>36</v>
      </c>
      <c r="C23" s="7" t="s">
        <v>22</v>
      </c>
      <c r="D23" s="7">
        <v>3</v>
      </c>
      <c r="E23" s="7">
        <v>16</v>
      </c>
      <c r="F23" s="19">
        <v>10.442299999999999</v>
      </c>
      <c r="G23" s="109">
        <v>13.6</v>
      </c>
    </row>
    <row r="24" spans="1:7" ht="12.95" customHeight="1" x14ac:dyDescent="0.2">
      <c r="B24" s="7" t="s">
        <v>36</v>
      </c>
      <c r="C24" s="7" t="s">
        <v>22</v>
      </c>
      <c r="D24" s="7">
        <v>3</v>
      </c>
      <c r="E24" s="7">
        <v>19</v>
      </c>
      <c r="F24" s="19">
        <v>9.7201000000000004</v>
      </c>
      <c r="G24" s="109">
        <v>13.6</v>
      </c>
    </row>
    <row r="25" spans="1:7" ht="12.95" customHeight="1" x14ac:dyDescent="0.2">
      <c r="B25" s="7" t="s">
        <v>36</v>
      </c>
      <c r="C25" s="7" t="s">
        <v>22</v>
      </c>
      <c r="D25" s="7">
        <v>3</v>
      </c>
      <c r="E25" s="7">
        <v>22</v>
      </c>
      <c r="F25" s="19">
        <v>11.701599999999999</v>
      </c>
      <c r="G25" s="109">
        <v>13.7</v>
      </c>
    </row>
    <row r="26" spans="1:7" ht="12.95" customHeight="1" x14ac:dyDescent="0.2">
      <c r="B26" s="7" t="s">
        <v>36</v>
      </c>
      <c r="C26" s="7" t="s">
        <v>22</v>
      </c>
      <c r="D26" s="7">
        <v>3</v>
      </c>
      <c r="E26" s="7">
        <v>25</v>
      </c>
      <c r="F26" s="19">
        <v>12.5265</v>
      </c>
      <c r="G26" s="109">
        <v>14.1</v>
      </c>
    </row>
    <row r="27" spans="1:7" ht="12.95" customHeight="1" x14ac:dyDescent="0.2">
      <c r="B27" s="7" t="s">
        <v>36</v>
      </c>
      <c r="C27" s="7" t="s">
        <v>22</v>
      </c>
      <c r="D27" s="7">
        <v>3</v>
      </c>
      <c r="E27" s="7">
        <v>28</v>
      </c>
      <c r="F27" s="19">
        <v>11.734999999999999</v>
      </c>
      <c r="G27" s="109">
        <v>14.1</v>
      </c>
    </row>
    <row r="28" spans="1:7" ht="12.95" customHeight="1" x14ac:dyDescent="0.2">
      <c r="B28" s="7" t="s">
        <v>36</v>
      </c>
      <c r="C28" s="7" t="s">
        <v>22</v>
      </c>
      <c r="D28" s="7">
        <v>3</v>
      </c>
      <c r="E28" s="7">
        <v>38</v>
      </c>
      <c r="F28" s="19">
        <v>11.4091</v>
      </c>
      <c r="G28" s="109">
        <v>13.6</v>
      </c>
    </row>
    <row r="29" spans="1:7" ht="12.95" customHeight="1" x14ac:dyDescent="0.2">
      <c r="B29" s="7" t="s">
        <v>36</v>
      </c>
      <c r="C29" s="7" t="s">
        <v>22</v>
      </c>
      <c r="D29" s="7">
        <v>3</v>
      </c>
      <c r="E29" s="7">
        <v>40</v>
      </c>
      <c r="F29" s="8">
        <v>13.1134</v>
      </c>
      <c r="G29" s="5">
        <v>14.1</v>
      </c>
    </row>
    <row r="30" spans="1:7" ht="12.95" customHeight="1" x14ac:dyDescent="0.2">
      <c r="B30" s="7" t="s">
        <v>36</v>
      </c>
      <c r="C30" s="7" t="s">
        <v>22</v>
      </c>
      <c r="D30" s="7">
        <v>3</v>
      </c>
      <c r="E30" s="7">
        <v>41</v>
      </c>
      <c r="F30" s="19">
        <v>11.9459</v>
      </c>
      <c r="G30" s="109">
        <v>13.7</v>
      </c>
    </row>
    <row r="31" spans="1:7" ht="12.95" customHeight="1" x14ac:dyDescent="0.2">
      <c r="A31" s="10">
        <f>COUNT(F22:F31)</f>
        <v>10</v>
      </c>
      <c r="B31" s="10" t="s">
        <v>36</v>
      </c>
      <c r="C31" s="10" t="s">
        <v>22</v>
      </c>
      <c r="D31" s="10">
        <v>3</v>
      </c>
      <c r="E31" s="10">
        <v>48</v>
      </c>
      <c r="F31" s="11">
        <v>9.7742000000000004</v>
      </c>
      <c r="G31" s="25">
        <v>13.9</v>
      </c>
    </row>
    <row r="32" spans="1:7" ht="12.95" customHeight="1" x14ac:dyDescent="0.2">
      <c r="B32" s="7" t="s">
        <v>37</v>
      </c>
      <c r="C32" s="7" t="s">
        <v>1</v>
      </c>
      <c r="D32" s="7">
        <v>4</v>
      </c>
      <c r="E32" s="7">
        <v>7</v>
      </c>
      <c r="F32" s="19">
        <v>14.8668</v>
      </c>
      <c r="G32" s="109">
        <v>13.6</v>
      </c>
    </row>
    <row r="33" spans="1:7" ht="12.95" customHeight="1" x14ac:dyDescent="0.2">
      <c r="B33" s="7" t="s">
        <v>37</v>
      </c>
      <c r="C33" s="7" t="s">
        <v>1</v>
      </c>
      <c r="D33" s="7">
        <v>4</v>
      </c>
      <c r="E33" s="7">
        <v>11</v>
      </c>
      <c r="F33" s="19">
        <v>14.7569</v>
      </c>
      <c r="G33" s="109">
        <v>13.7</v>
      </c>
    </row>
    <row r="34" spans="1:7" ht="12.95" customHeight="1" x14ac:dyDescent="0.2">
      <c r="B34" s="7" t="s">
        <v>37</v>
      </c>
      <c r="C34" s="7" t="s">
        <v>1</v>
      </c>
      <c r="D34" s="7">
        <v>4</v>
      </c>
      <c r="E34" s="7">
        <v>14</v>
      </c>
      <c r="F34" s="19">
        <v>13.515700000000001</v>
      </c>
      <c r="G34" s="109">
        <v>13.1</v>
      </c>
    </row>
    <row r="35" spans="1:7" ht="12.95" customHeight="1" x14ac:dyDescent="0.2">
      <c r="B35" s="7" t="s">
        <v>37</v>
      </c>
      <c r="C35" s="7" t="s">
        <v>1</v>
      </c>
      <c r="D35" s="7">
        <v>4</v>
      </c>
      <c r="E35" s="7">
        <v>18</v>
      </c>
      <c r="F35" s="19">
        <v>13.682600000000001</v>
      </c>
      <c r="G35" s="109">
        <v>13.2</v>
      </c>
    </row>
    <row r="36" spans="1:7" ht="12.95" customHeight="1" x14ac:dyDescent="0.2">
      <c r="B36" s="7" t="s">
        <v>37</v>
      </c>
      <c r="C36" s="7" t="s">
        <v>1</v>
      </c>
      <c r="D36" s="7">
        <v>4</v>
      </c>
      <c r="E36" s="7">
        <v>23</v>
      </c>
      <c r="F36" s="19">
        <v>15.079499999999999</v>
      </c>
      <c r="G36" s="109">
        <v>13.6</v>
      </c>
    </row>
    <row r="37" spans="1:7" ht="12.95" customHeight="1" x14ac:dyDescent="0.2">
      <c r="B37" s="7" t="s">
        <v>37</v>
      </c>
      <c r="C37" s="7" t="s">
        <v>1</v>
      </c>
      <c r="D37" s="7">
        <v>4</v>
      </c>
      <c r="E37" s="7">
        <v>33</v>
      </c>
      <c r="F37" s="19">
        <v>14.8847</v>
      </c>
      <c r="G37" s="109">
        <v>13.6</v>
      </c>
    </row>
    <row r="38" spans="1:7" ht="12.95" customHeight="1" x14ac:dyDescent="0.2">
      <c r="B38" s="7" t="s">
        <v>37</v>
      </c>
      <c r="C38" s="7" t="s">
        <v>1</v>
      </c>
      <c r="D38" s="7">
        <v>4</v>
      </c>
      <c r="E38" s="7">
        <v>37</v>
      </c>
      <c r="F38" s="19">
        <v>14.546799999999999</v>
      </c>
      <c r="G38" s="109">
        <v>13.4</v>
      </c>
    </row>
    <row r="39" spans="1:7" ht="12.95" customHeight="1" x14ac:dyDescent="0.2">
      <c r="B39" s="7" t="s">
        <v>37</v>
      </c>
      <c r="C39" s="7" t="s">
        <v>1</v>
      </c>
      <c r="D39" s="7">
        <v>4</v>
      </c>
      <c r="E39" s="7">
        <v>45</v>
      </c>
      <c r="F39" s="19">
        <v>13.7387</v>
      </c>
      <c r="G39" s="109">
        <v>13.1</v>
      </c>
    </row>
    <row r="40" spans="1:7" ht="12.95" customHeight="1" x14ac:dyDescent="0.2">
      <c r="B40" s="7" t="s">
        <v>37</v>
      </c>
      <c r="C40" s="7" t="s">
        <v>1</v>
      </c>
      <c r="D40" s="7">
        <v>4</v>
      </c>
      <c r="E40" s="7">
        <v>47</v>
      </c>
      <c r="F40" s="19">
        <v>15.5922</v>
      </c>
      <c r="G40" s="109">
        <v>13.8</v>
      </c>
    </row>
    <row r="41" spans="1:7" ht="12.95" customHeight="1" x14ac:dyDescent="0.2">
      <c r="A41" s="10">
        <f>COUNT(F32:F41)</f>
        <v>10</v>
      </c>
      <c r="B41" s="10" t="s">
        <v>37</v>
      </c>
      <c r="C41" s="10" t="s">
        <v>1</v>
      </c>
      <c r="D41" s="10">
        <v>4</v>
      </c>
      <c r="E41" s="10">
        <v>50</v>
      </c>
      <c r="F41" s="11">
        <v>16.075399999999998</v>
      </c>
      <c r="G41" s="25">
        <v>13.8</v>
      </c>
    </row>
    <row r="42" spans="1:7" ht="12.95" customHeight="1" x14ac:dyDescent="0.2">
      <c r="B42" s="7" t="s">
        <v>37</v>
      </c>
      <c r="C42" s="7" t="s">
        <v>22</v>
      </c>
      <c r="D42" s="7">
        <v>5</v>
      </c>
      <c r="E42" s="7">
        <v>3</v>
      </c>
      <c r="F42" s="19">
        <v>12.9785</v>
      </c>
      <c r="G42" s="109">
        <v>13.6</v>
      </c>
    </row>
    <row r="43" spans="1:7" ht="12.95" customHeight="1" x14ac:dyDescent="0.2">
      <c r="B43" s="7" t="s">
        <v>37</v>
      </c>
      <c r="C43" s="7" t="s">
        <v>22</v>
      </c>
      <c r="D43" s="7">
        <v>5</v>
      </c>
      <c r="E43" s="7">
        <v>6</v>
      </c>
      <c r="F43" s="19">
        <v>12.9308</v>
      </c>
      <c r="G43" s="109">
        <v>13.3</v>
      </c>
    </row>
    <row r="44" spans="1:7" ht="12.95" customHeight="1" x14ac:dyDescent="0.2">
      <c r="B44" s="7" t="s">
        <v>37</v>
      </c>
      <c r="C44" s="7" t="s">
        <v>22</v>
      </c>
      <c r="D44" s="7">
        <v>5</v>
      </c>
      <c r="E44" s="7">
        <v>9</v>
      </c>
      <c r="F44" s="19">
        <v>12.485900000000001</v>
      </c>
      <c r="G44" s="109">
        <v>13.4</v>
      </c>
    </row>
    <row r="45" spans="1:7" ht="12.95" customHeight="1" x14ac:dyDescent="0.2">
      <c r="B45" s="7" t="s">
        <v>37</v>
      </c>
      <c r="C45" s="7" t="s">
        <v>22</v>
      </c>
      <c r="D45" s="7">
        <v>5</v>
      </c>
      <c r="E45" s="7">
        <v>10</v>
      </c>
      <c r="F45" s="8">
        <v>12.5501</v>
      </c>
      <c r="G45" s="5">
        <v>13.6</v>
      </c>
    </row>
    <row r="46" spans="1:7" ht="12.95" customHeight="1" x14ac:dyDescent="0.2">
      <c r="B46" s="7" t="s">
        <v>37</v>
      </c>
      <c r="C46" s="7" t="s">
        <v>22</v>
      </c>
      <c r="D46" s="7">
        <v>5</v>
      </c>
      <c r="E46" s="7">
        <v>12</v>
      </c>
      <c r="F46" s="19">
        <v>12.783099999999999</v>
      </c>
      <c r="G46" s="109">
        <v>13.4</v>
      </c>
    </row>
    <row r="47" spans="1:7" ht="12.95" customHeight="1" x14ac:dyDescent="0.2">
      <c r="B47" s="7" t="s">
        <v>37</v>
      </c>
      <c r="C47" s="7" t="s">
        <v>22</v>
      </c>
      <c r="D47" s="7">
        <v>5</v>
      </c>
      <c r="E47" s="7">
        <v>17</v>
      </c>
      <c r="F47" s="19">
        <v>12.940799999999999</v>
      </c>
      <c r="G47" s="109">
        <v>13.7</v>
      </c>
    </row>
    <row r="48" spans="1:7" ht="12.95" customHeight="1" x14ac:dyDescent="0.2">
      <c r="B48" s="7" t="s">
        <v>37</v>
      </c>
      <c r="C48" s="7" t="s">
        <v>22</v>
      </c>
      <c r="D48" s="7">
        <v>5</v>
      </c>
      <c r="E48" s="7">
        <v>24</v>
      </c>
      <c r="F48" s="19">
        <v>12.181800000000001</v>
      </c>
      <c r="G48" s="109">
        <v>13.4</v>
      </c>
    </row>
    <row r="49" spans="1:7" ht="12" customHeight="1" x14ac:dyDescent="0.2">
      <c r="B49" s="7" t="s">
        <v>37</v>
      </c>
      <c r="C49" s="7" t="s">
        <v>22</v>
      </c>
      <c r="D49" s="7">
        <v>5</v>
      </c>
      <c r="E49" s="7">
        <v>35</v>
      </c>
      <c r="F49" s="19">
        <v>12.6645</v>
      </c>
      <c r="G49" s="109">
        <v>13.6</v>
      </c>
    </row>
    <row r="50" spans="1:7" s="107" customFormat="1" ht="12.95" customHeight="1" x14ac:dyDescent="0.2">
      <c r="B50" s="107" t="s">
        <v>37</v>
      </c>
      <c r="C50" s="107" t="s">
        <v>22</v>
      </c>
      <c r="D50" s="107">
        <v>5</v>
      </c>
      <c r="E50" s="107">
        <v>44</v>
      </c>
      <c r="F50" s="111">
        <v>13.9742</v>
      </c>
      <c r="G50" s="110">
        <v>13.7</v>
      </c>
    </row>
    <row r="51" spans="1:7" ht="12.95" customHeight="1" x14ac:dyDescent="0.2">
      <c r="A51" s="10">
        <f>COUNT(F42:F51)</f>
        <v>10</v>
      </c>
      <c r="B51" s="10" t="s">
        <v>37</v>
      </c>
      <c r="C51" s="10" t="s">
        <v>22</v>
      </c>
      <c r="D51" s="10">
        <v>5</v>
      </c>
      <c r="E51" s="10">
        <v>49</v>
      </c>
      <c r="F51" s="11">
        <v>13.690899999999999</v>
      </c>
      <c r="G51" s="25">
        <v>13.9</v>
      </c>
    </row>
    <row r="52" spans="1:7" x14ac:dyDescent="0.2">
      <c r="A52" s="7">
        <f>COUNT(F2:F51)</f>
        <v>50</v>
      </c>
      <c r="G52" s="114"/>
    </row>
    <row r="57" spans="1:7" x14ac:dyDescent="0.2">
      <c r="G57" s="5"/>
    </row>
    <row r="58" spans="1:7" x14ac:dyDescent="0.2">
      <c r="G58" s="5"/>
    </row>
    <row r="59" spans="1:7" x14ac:dyDescent="0.2">
      <c r="G59" s="5"/>
    </row>
    <row r="60" spans="1:7" x14ac:dyDescent="0.2">
      <c r="G60" s="5"/>
    </row>
    <row r="61" spans="1:7" x14ac:dyDescent="0.2">
      <c r="G61" s="5"/>
    </row>
    <row r="62" spans="1:7" x14ac:dyDescent="0.2">
      <c r="G62" s="5"/>
    </row>
    <row r="63" spans="1:7" x14ac:dyDescent="0.2">
      <c r="G63" s="5"/>
    </row>
    <row r="64" spans="1:7" x14ac:dyDescent="0.2">
      <c r="G64" s="5"/>
    </row>
    <row r="65" spans="7:7" x14ac:dyDescent="0.2">
      <c r="G65" s="5"/>
    </row>
    <row r="66" spans="7:7" x14ac:dyDescent="0.2">
      <c r="G66" s="5"/>
    </row>
    <row r="67" spans="7:7" x14ac:dyDescent="0.2">
      <c r="G67" s="5"/>
    </row>
    <row r="68" spans="7:7" x14ac:dyDescent="0.2">
      <c r="G68" s="5"/>
    </row>
    <row r="69" spans="7:7" x14ac:dyDescent="0.2">
      <c r="G69" s="5"/>
    </row>
    <row r="70" spans="7:7" x14ac:dyDescent="0.2">
      <c r="G70" s="5"/>
    </row>
    <row r="71" spans="7:7" x14ac:dyDescent="0.2">
      <c r="G71" s="5"/>
    </row>
    <row r="72" spans="7:7" x14ac:dyDescent="0.2">
      <c r="G72" s="5"/>
    </row>
  </sheetData>
  <printOptions horizontalCentered="1"/>
  <pageMargins left="0.25" right="0.25" top="0.75" bottom="0.75" header="0.3" footer="0.3"/>
  <pageSetup scale="93" orientation="portrait" r:id="rId1"/>
  <headerFooter>
    <oddHeader>&amp;C&amp;F</oddHeader>
    <oddFooter>&amp;C&amp;A&amp;R&amp;D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52"/>
  <sheetViews>
    <sheetView workbookViewId="0">
      <selection activeCell="K1" sqref="K1:N1048576"/>
    </sheetView>
  </sheetViews>
  <sheetFormatPr defaultColWidth="8.75" defaultRowHeight="12.75" x14ac:dyDescent="0.2"/>
  <cols>
    <col min="1" max="1" width="3.75" style="12" customWidth="1"/>
    <col min="2" max="2" width="11.25" style="12" customWidth="1"/>
    <col min="3" max="3" width="8.75" style="12"/>
    <col min="4" max="5" width="5.875" style="12" customWidth="1"/>
    <col min="6" max="6" width="8" style="19" bestFit="1" customWidth="1"/>
    <col min="7" max="8" width="7.25" style="19" customWidth="1"/>
    <col min="9" max="9" width="8.75" style="12"/>
    <col min="10" max="10" width="6.75" style="8" customWidth="1"/>
    <col min="11" max="16384" width="8.75" style="12"/>
  </cols>
  <sheetData>
    <row r="1" spans="1:10" ht="65.25" x14ac:dyDescent="0.2">
      <c r="A1" s="28" t="s">
        <v>0</v>
      </c>
      <c r="B1" s="28" t="s">
        <v>32</v>
      </c>
      <c r="C1" s="28" t="s">
        <v>3</v>
      </c>
      <c r="D1" s="28" t="s">
        <v>33</v>
      </c>
      <c r="E1" s="28" t="s">
        <v>34</v>
      </c>
      <c r="F1" s="1" t="s">
        <v>39</v>
      </c>
      <c r="G1" s="1" t="s">
        <v>40</v>
      </c>
      <c r="H1" s="1" t="s">
        <v>41</v>
      </c>
      <c r="I1" s="23" t="s">
        <v>42</v>
      </c>
      <c r="J1" s="6" t="s">
        <v>43</v>
      </c>
    </row>
    <row r="2" spans="1:10" x14ac:dyDescent="0.2">
      <c r="B2" s="12" t="s">
        <v>36</v>
      </c>
      <c r="C2" s="12" t="s">
        <v>21</v>
      </c>
      <c r="D2" s="12">
        <v>1</v>
      </c>
      <c r="E2" s="12">
        <v>2</v>
      </c>
      <c r="F2" s="19">
        <v>0.42849999999999999</v>
      </c>
      <c r="G2" s="19">
        <v>0.15720000000000001</v>
      </c>
      <c r="H2" s="19">
        <f t="shared" ref="H2:H33" si="0">F2-G2</f>
        <v>0.27129999999999999</v>
      </c>
      <c r="I2" s="12">
        <v>152</v>
      </c>
      <c r="J2" s="19">
        <v>0.30421999999999999</v>
      </c>
    </row>
    <row r="3" spans="1:10" x14ac:dyDescent="0.2">
      <c r="B3" s="12" t="s">
        <v>36</v>
      </c>
      <c r="C3" s="12" t="s">
        <v>21</v>
      </c>
      <c r="D3" s="12">
        <v>1</v>
      </c>
      <c r="E3" s="12">
        <v>4</v>
      </c>
      <c r="F3" s="19">
        <v>0.41349999999999998</v>
      </c>
      <c r="G3" s="19">
        <v>0.1537</v>
      </c>
      <c r="H3" s="19">
        <f t="shared" si="0"/>
        <v>0.25979999999999998</v>
      </c>
      <c r="I3" s="12">
        <v>150</v>
      </c>
      <c r="J3" s="19">
        <v>0.28516000000000002</v>
      </c>
    </row>
    <row r="4" spans="1:10" x14ac:dyDescent="0.2">
      <c r="B4" s="12" t="s">
        <v>36</v>
      </c>
      <c r="C4" s="12" t="s">
        <v>21</v>
      </c>
      <c r="D4" s="12">
        <v>1</v>
      </c>
      <c r="E4" s="12">
        <v>8</v>
      </c>
      <c r="F4" s="19">
        <v>0.4204</v>
      </c>
      <c r="G4" s="19">
        <v>0.15659999999999999</v>
      </c>
      <c r="H4" s="19">
        <f t="shared" si="0"/>
        <v>0.26380000000000003</v>
      </c>
      <c r="I4" s="12">
        <v>151</v>
      </c>
      <c r="J4" s="19">
        <v>0.29576000000000002</v>
      </c>
    </row>
    <row r="5" spans="1:10" x14ac:dyDescent="0.2">
      <c r="B5" s="12" t="s">
        <v>36</v>
      </c>
      <c r="C5" s="12" t="s">
        <v>21</v>
      </c>
      <c r="D5" s="12">
        <v>1</v>
      </c>
      <c r="E5" s="12">
        <v>13</v>
      </c>
      <c r="F5" s="19">
        <v>0.40129999999999999</v>
      </c>
      <c r="G5" s="19">
        <v>0.15590000000000001</v>
      </c>
      <c r="H5" s="19">
        <f t="shared" si="0"/>
        <v>0.24539999999999998</v>
      </c>
      <c r="I5" s="12">
        <v>157</v>
      </c>
      <c r="J5" s="19">
        <v>0.27562999999999999</v>
      </c>
    </row>
    <row r="6" spans="1:10" x14ac:dyDescent="0.2">
      <c r="B6" s="12" t="s">
        <v>36</v>
      </c>
      <c r="C6" s="12" t="s">
        <v>21</v>
      </c>
      <c r="D6" s="12">
        <v>1</v>
      </c>
      <c r="E6" s="12">
        <v>21</v>
      </c>
      <c r="F6" s="19">
        <v>0.40870000000000001</v>
      </c>
      <c r="G6" s="19">
        <v>0.15279999999999999</v>
      </c>
      <c r="H6" s="19">
        <f t="shared" si="0"/>
        <v>0.25590000000000002</v>
      </c>
      <c r="I6" s="12">
        <v>151</v>
      </c>
      <c r="J6" s="19">
        <v>0.27988000000000002</v>
      </c>
    </row>
    <row r="7" spans="1:10" x14ac:dyDescent="0.2">
      <c r="B7" s="12" t="s">
        <v>36</v>
      </c>
      <c r="C7" s="12" t="s">
        <v>21</v>
      </c>
      <c r="D7" s="12">
        <v>1</v>
      </c>
      <c r="E7" s="12">
        <v>27</v>
      </c>
      <c r="F7" s="19">
        <v>0.44350000000000001</v>
      </c>
      <c r="G7" s="19">
        <v>0.15920000000000001</v>
      </c>
      <c r="H7" s="19">
        <f t="shared" si="0"/>
        <v>0.2843</v>
      </c>
      <c r="I7" s="12">
        <v>149</v>
      </c>
      <c r="J7" s="19">
        <v>0.32336999999999999</v>
      </c>
    </row>
    <row r="8" spans="1:10" x14ac:dyDescent="0.2">
      <c r="A8" s="7"/>
      <c r="B8" s="7" t="s">
        <v>36</v>
      </c>
      <c r="C8" s="7" t="s">
        <v>21</v>
      </c>
      <c r="D8" s="7">
        <v>1</v>
      </c>
      <c r="E8" s="7">
        <v>30</v>
      </c>
      <c r="F8" s="19">
        <v>0.42530000000000001</v>
      </c>
      <c r="G8" s="19">
        <v>0.1578</v>
      </c>
      <c r="H8" s="19">
        <f t="shared" si="0"/>
        <v>0.26750000000000002</v>
      </c>
      <c r="I8" s="12">
        <v>152</v>
      </c>
      <c r="J8" s="19">
        <v>0.29786000000000001</v>
      </c>
    </row>
    <row r="9" spans="1:10" x14ac:dyDescent="0.2">
      <c r="B9" s="12" t="s">
        <v>36</v>
      </c>
      <c r="C9" s="12" t="s">
        <v>21</v>
      </c>
      <c r="D9" s="12">
        <v>1</v>
      </c>
      <c r="E9" s="12">
        <v>31</v>
      </c>
      <c r="F9" s="19">
        <v>0.3856</v>
      </c>
      <c r="G9" s="19">
        <v>0.1482</v>
      </c>
      <c r="H9" s="19">
        <f t="shared" si="0"/>
        <v>0.2374</v>
      </c>
      <c r="I9" s="12">
        <v>152</v>
      </c>
      <c r="J9" s="19">
        <v>0.25137999999999999</v>
      </c>
    </row>
    <row r="10" spans="1:10" x14ac:dyDescent="0.2">
      <c r="B10" s="12" t="s">
        <v>36</v>
      </c>
      <c r="C10" s="12" t="s">
        <v>21</v>
      </c>
      <c r="D10" s="12">
        <v>1</v>
      </c>
      <c r="E10" s="12">
        <v>34</v>
      </c>
      <c r="F10" s="19">
        <v>0.3543</v>
      </c>
      <c r="G10" s="19">
        <v>0.14899999999999999</v>
      </c>
      <c r="H10" s="19">
        <f t="shared" si="0"/>
        <v>0.20530000000000001</v>
      </c>
      <c r="I10" s="12">
        <v>160</v>
      </c>
      <c r="J10" s="19">
        <v>0.22972999999999999</v>
      </c>
    </row>
    <row r="11" spans="1:10" x14ac:dyDescent="0.2">
      <c r="A11" s="10">
        <f>COUNT(F2:F11)</f>
        <v>10</v>
      </c>
      <c r="B11" s="10" t="s">
        <v>36</v>
      </c>
      <c r="C11" s="10" t="s">
        <v>21</v>
      </c>
      <c r="D11" s="10">
        <v>1</v>
      </c>
      <c r="E11" s="10">
        <v>39</v>
      </c>
      <c r="F11" s="11">
        <v>0.43209999999999998</v>
      </c>
      <c r="G11" s="11">
        <v>0.17299999999999999</v>
      </c>
      <c r="H11" s="11">
        <f t="shared" si="0"/>
        <v>0.2591</v>
      </c>
      <c r="I11" s="10">
        <v>166</v>
      </c>
      <c r="J11" s="6">
        <v>0.33374999999999999</v>
      </c>
    </row>
    <row r="12" spans="1:10" x14ac:dyDescent="0.2">
      <c r="B12" s="12" t="s">
        <v>36</v>
      </c>
      <c r="C12" s="12" t="s">
        <v>1</v>
      </c>
      <c r="D12" s="12">
        <v>2</v>
      </c>
      <c r="E12" s="12">
        <v>5</v>
      </c>
      <c r="F12" s="19">
        <v>0.4254</v>
      </c>
      <c r="G12" s="19">
        <v>0.1681</v>
      </c>
      <c r="H12" s="19">
        <f t="shared" si="0"/>
        <v>0.25729999999999997</v>
      </c>
      <c r="I12" s="12">
        <v>161</v>
      </c>
      <c r="J12" s="19">
        <v>0.32496000000000003</v>
      </c>
    </row>
    <row r="13" spans="1:10" x14ac:dyDescent="0.2">
      <c r="B13" s="12" t="s">
        <v>36</v>
      </c>
      <c r="C13" s="12" t="s">
        <v>1</v>
      </c>
      <c r="D13" s="12">
        <v>2</v>
      </c>
      <c r="E13" s="12">
        <v>15</v>
      </c>
      <c r="F13" s="19">
        <v>0.40500000000000003</v>
      </c>
      <c r="G13" s="19">
        <v>0.14990000000000001</v>
      </c>
      <c r="H13" s="19">
        <f t="shared" si="0"/>
        <v>0.25509999999999999</v>
      </c>
      <c r="I13" s="12">
        <v>148</v>
      </c>
      <c r="J13" s="19">
        <v>0.27564</v>
      </c>
    </row>
    <row r="14" spans="1:10" x14ac:dyDescent="0.2">
      <c r="A14" s="7"/>
      <c r="B14" s="7" t="s">
        <v>36</v>
      </c>
      <c r="C14" s="7" t="s">
        <v>1</v>
      </c>
      <c r="D14" s="7">
        <v>2</v>
      </c>
      <c r="E14" s="7">
        <v>20</v>
      </c>
      <c r="F14" s="19">
        <v>0.41110000000000002</v>
      </c>
      <c r="G14" s="19">
        <v>0.15459999999999999</v>
      </c>
      <c r="H14" s="19">
        <f t="shared" si="0"/>
        <v>0.25650000000000006</v>
      </c>
      <c r="I14" s="12">
        <v>149</v>
      </c>
      <c r="J14" s="19">
        <v>0.28902</v>
      </c>
    </row>
    <row r="15" spans="1:10" x14ac:dyDescent="0.2">
      <c r="B15" s="12" t="s">
        <v>36</v>
      </c>
      <c r="C15" s="12" t="s">
        <v>1</v>
      </c>
      <c r="D15" s="12">
        <v>2</v>
      </c>
      <c r="E15" s="12">
        <v>26</v>
      </c>
      <c r="F15" s="19">
        <v>0.4209</v>
      </c>
      <c r="G15" s="19">
        <v>0.16489999999999999</v>
      </c>
      <c r="H15" s="19">
        <f t="shared" si="0"/>
        <v>0.25600000000000001</v>
      </c>
      <c r="I15" s="12">
        <v>159</v>
      </c>
      <c r="J15" s="19">
        <v>0.31230999999999998</v>
      </c>
    </row>
    <row r="16" spans="1:10" x14ac:dyDescent="0.2">
      <c r="B16" s="12" t="s">
        <v>36</v>
      </c>
      <c r="C16" s="12" t="s">
        <v>1</v>
      </c>
      <c r="D16" s="12">
        <v>2</v>
      </c>
      <c r="E16" s="12">
        <v>29</v>
      </c>
      <c r="F16" s="19">
        <v>0.40029999999999999</v>
      </c>
      <c r="G16" s="19">
        <v>0.1452</v>
      </c>
      <c r="H16" s="19">
        <f t="shared" si="0"/>
        <v>0.25509999999999999</v>
      </c>
      <c r="I16" s="12">
        <v>143</v>
      </c>
      <c r="J16" s="19">
        <v>0.26136999999999999</v>
      </c>
    </row>
    <row r="17" spans="1:10" x14ac:dyDescent="0.2">
      <c r="B17" s="12" t="s">
        <v>36</v>
      </c>
      <c r="C17" s="12" t="s">
        <v>1</v>
      </c>
      <c r="D17" s="12">
        <v>2</v>
      </c>
      <c r="E17" s="12">
        <v>32</v>
      </c>
      <c r="F17" s="19">
        <v>0.41110000000000002</v>
      </c>
      <c r="G17" s="19">
        <v>0.14080000000000001</v>
      </c>
      <c r="H17" s="19">
        <f t="shared" si="0"/>
        <v>0.27029999999999998</v>
      </c>
      <c r="I17" s="12">
        <v>136</v>
      </c>
      <c r="J17" s="19">
        <v>0.26362999999999998</v>
      </c>
    </row>
    <row r="18" spans="1:10" x14ac:dyDescent="0.2">
      <c r="B18" s="12" t="s">
        <v>36</v>
      </c>
      <c r="C18" s="12" t="s">
        <v>1</v>
      </c>
      <c r="D18" s="12">
        <v>2</v>
      </c>
      <c r="E18" s="12">
        <v>36</v>
      </c>
      <c r="F18" s="19">
        <v>0.40010000000000001</v>
      </c>
      <c r="G18" s="19">
        <v>0.15140000000000001</v>
      </c>
      <c r="H18" s="19">
        <f t="shared" si="0"/>
        <v>0.2487</v>
      </c>
      <c r="I18" s="12">
        <v>151</v>
      </c>
      <c r="J18" s="19">
        <v>0.27134000000000003</v>
      </c>
    </row>
    <row r="19" spans="1:10" x14ac:dyDescent="0.2">
      <c r="B19" s="12" t="s">
        <v>36</v>
      </c>
      <c r="C19" s="12" t="s">
        <v>1</v>
      </c>
      <c r="D19" s="12">
        <v>2</v>
      </c>
      <c r="E19" s="12">
        <v>42</v>
      </c>
      <c r="F19" s="19">
        <v>0.42349999999999999</v>
      </c>
      <c r="G19" s="19">
        <v>0.1608</v>
      </c>
      <c r="H19" s="19">
        <f t="shared" si="0"/>
        <v>0.26269999999999999</v>
      </c>
      <c r="I19" s="12">
        <v>154</v>
      </c>
      <c r="J19" s="19">
        <v>0.30961</v>
      </c>
    </row>
    <row r="20" spans="1:10" x14ac:dyDescent="0.2">
      <c r="B20" s="12" t="s">
        <v>36</v>
      </c>
      <c r="C20" s="12" t="s">
        <v>1</v>
      </c>
      <c r="D20" s="12">
        <v>2</v>
      </c>
      <c r="E20" s="12">
        <v>43</v>
      </c>
      <c r="F20" s="19">
        <v>0.4173</v>
      </c>
      <c r="G20" s="19">
        <v>0.1686</v>
      </c>
      <c r="H20" s="19">
        <f t="shared" si="0"/>
        <v>0.2487</v>
      </c>
      <c r="I20" s="12">
        <v>165</v>
      </c>
      <c r="J20" s="19">
        <v>0.31376999999999999</v>
      </c>
    </row>
    <row r="21" spans="1:10" x14ac:dyDescent="0.2">
      <c r="A21" s="10">
        <f>COUNT(F12:F21)</f>
        <v>10</v>
      </c>
      <c r="B21" s="10" t="s">
        <v>36</v>
      </c>
      <c r="C21" s="10" t="s">
        <v>1</v>
      </c>
      <c r="D21" s="10">
        <v>2</v>
      </c>
      <c r="E21" s="10">
        <v>46</v>
      </c>
      <c r="F21" s="11">
        <v>0.40289999999999998</v>
      </c>
      <c r="G21" s="11">
        <v>0.1424</v>
      </c>
      <c r="H21" s="11">
        <f t="shared" si="0"/>
        <v>0.26049999999999995</v>
      </c>
      <c r="I21" s="10">
        <v>140</v>
      </c>
      <c r="J21" s="6">
        <v>0.26094000000000001</v>
      </c>
    </row>
    <row r="22" spans="1:10" x14ac:dyDescent="0.2">
      <c r="B22" s="12" t="s">
        <v>36</v>
      </c>
      <c r="C22" s="12" t="s">
        <v>22</v>
      </c>
      <c r="D22" s="12">
        <v>3</v>
      </c>
      <c r="E22" s="12">
        <v>1</v>
      </c>
      <c r="F22" s="19">
        <v>0.41970000000000002</v>
      </c>
      <c r="G22" s="19">
        <v>0.13469999999999999</v>
      </c>
      <c r="H22" s="19">
        <f t="shared" si="0"/>
        <v>0.28500000000000003</v>
      </c>
      <c r="I22" s="12">
        <v>129</v>
      </c>
      <c r="J22" s="19">
        <v>0.25359999999999999</v>
      </c>
    </row>
    <row r="23" spans="1:10" x14ac:dyDescent="0.2">
      <c r="B23" s="12" t="s">
        <v>36</v>
      </c>
      <c r="C23" s="12" t="s">
        <v>22</v>
      </c>
      <c r="D23" s="12">
        <v>3</v>
      </c>
      <c r="E23" s="12">
        <v>16</v>
      </c>
      <c r="F23" s="19">
        <v>0.39429999999999998</v>
      </c>
      <c r="G23" s="19">
        <v>0.12470000000000001</v>
      </c>
      <c r="H23" s="19">
        <f t="shared" si="0"/>
        <v>0.26959999999999995</v>
      </c>
      <c r="I23" s="12">
        <v>123</v>
      </c>
      <c r="J23" s="19">
        <v>0.22103999999999999</v>
      </c>
    </row>
    <row r="24" spans="1:10" x14ac:dyDescent="0.2">
      <c r="B24" s="12" t="s">
        <v>36</v>
      </c>
      <c r="C24" s="12" t="s">
        <v>22</v>
      </c>
      <c r="D24" s="12">
        <v>3</v>
      </c>
      <c r="E24" s="12">
        <v>19</v>
      </c>
      <c r="F24" s="19">
        <v>0.43559999999999999</v>
      </c>
      <c r="G24" s="19">
        <v>0.129</v>
      </c>
      <c r="H24" s="19">
        <f t="shared" si="0"/>
        <v>0.30659999999999998</v>
      </c>
      <c r="I24" s="12">
        <v>121</v>
      </c>
      <c r="J24" s="19">
        <v>0.25413000000000002</v>
      </c>
    </row>
    <row r="25" spans="1:10" x14ac:dyDescent="0.2">
      <c r="B25" s="12" t="s">
        <v>36</v>
      </c>
      <c r="C25" s="12" t="s">
        <v>22</v>
      </c>
      <c r="D25" s="12">
        <v>3</v>
      </c>
      <c r="E25" s="12">
        <v>22</v>
      </c>
      <c r="F25" s="19">
        <v>0.41720000000000002</v>
      </c>
      <c r="G25" s="19">
        <v>0.14910000000000001</v>
      </c>
      <c r="H25" s="19">
        <f t="shared" si="0"/>
        <v>0.2681</v>
      </c>
      <c r="I25" s="12">
        <v>143</v>
      </c>
      <c r="J25" s="19">
        <v>0.28520000000000001</v>
      </c>
    </row>
    <row r="26" spans="1:10" x14ac:dyDescent="0.2">
      <c r="B26" s="12" t="s">
        <v>36</v>
      </c>
      <c r="C26" s="12" t="s">
        <v>22</v>
      </c>
      <c r="D26" s="12">
        <v>3</v>
      </c>
      <c r="E26" s="12">
        <v>25</v>
      </c>
      <c r="F26" s="19">
        <v>0.40770000000000001</v>
      </c>
      <c r="G26" s="19">
        <v>0.14960000000000001</v>
      </c>
      <c r="H26" s="19">
        <f t="shared" si="0"/>
        <v>0.2581</v>
      </c>
      <c r="I26" s="12">
        <v>146</v>
      </c>
      <c r="J26" s="19">
        <v>0.27500999999999998</v>
      </c>
    </row>
    <row r="27" spans="1:10" x14ac:dyDescent="0.2">
      <c r="B27" s="12" t="s">
        <v>36</v>
      </c>
      <c r="C27" s="12" t="s">
        <v>22</v>
      </c>
      <c r="D27" s="12">
        <v>3</v>
      </c>
      <c r="E27" s="12">
        <v>28</v>
      </c>
      <c r="F27" s="19">
        <v>0.39090000000000003</v>
      </c>
      <c r="G27" s="19">
        <v>0.13500000000000001</v>
      </c>
      <c r="H27" s="19">
        <f t="shared" si="0"/>
        <v>0.25590000000000002</v>
      </c>
      <c r="I27" s="12">
        <v>134</v>
      </c>
      <c r="J27" s="19">
        <v>0.23863999999999999</v>
      </c>
    </row>
    <row r="28" spans="1:10" x14ac:dyDescent="0.2">
      <c r="B28" s="12" t="s">
        <v>36</v>
      </c>
      <c r="C28" s="12" t="s">
        <v>22</v>
      </c>
      <c r="D28" s="12">
        <v>3</v>
      </c>
      <c r="E28" s="12">
        <v>38</v>
      </c>
      <c r="F28" s="19">
        <v>0.42280000000000001</v>
      </c>
      <c r="G28" s="19">
        <v>0.14799999999999999</v>
      </c>
      <c r="H28" s="19">
        <f t="shared" si="0"/>
        <v>0.27480000000000004</v>
      </c>
      <c r="I28" s="12">
        <v>138</v>
      </c>
      <c r="J28" s="19">
        <v>0.28693000000000002</v>
      </c>
    </row>
    <row r="29" spans="1:10" x14ac:dyDescent="0.2">
      <c r="A29" s="7"/>
      <c r="B29" s="7" t="s">
        <v>36</v>
      </c>
      <c r="C29" s="7" t="s">
        <v>22</v>
      </c>
      <c r="D29" s="7">
        <v>3</v>
      </c>
      <c r="E29" s="7">
        <v>40</v>
      </c>
      <c r="F29" s="19">
        <v>0.43290000000000001</v>
      </c>
      <c r="G29" s="19">
        <v>0.14330000000000001</v>
      </c>
      <c r="H29" s="19">
        <f t="shared" si="0"/>
        <v>0.28959999999999997</v>
      </c>
      <c r="I29" s="12">
        <v>134</v>
      </c>
      <c r="J29" s="19">
        <v>0.28619</v>
      </c>
    </row>
    <row r="30" spans="1:10" x14ac:dyDescent="0.2">
      <c r="B30" s="12" t="s">
        <v>36</v>
      </c>
      <c r="C30" s="12" t="s">
        <v>22</v>
      </c>
      <c r="D30" s="12">
        <v>3</v>
      </c>
      <c r="E30" s="12">
        <v>41</v>
      </c>
      <c r="F30" s="19">
        <v>0.42230000000000001</v>
      </c>
      <c r="G30" s="19">
        <v>0.1414</v>
      </c>
      <c r="H30" s="19">
        <f t="shared" si="0"/>
        <v>0.28090000000000004</v>
      </c>
      <c r="I30" s="12">
        <v>134</v>
      </c>
      <c r="J30" s="19">
        <v>0.27615000000000001</v>
      </c>
    </row>
    <row r="31" spans="1:10" x14ac:dyDescent="0.2">
      <c r="A31" s="10">
        <f>COUNT(F22:F31)</f>
        <v>10</v>
      </c>
      <c r="B31" s="10" t="s">
        <v>36</v>
      </c>
      <c r="C31" s="10" t="s">
        <v>22</v>
      </c>
      <c r="D31" s="10">
        <v>3</v>
      </c>
      <c r="E31" s="10">
        <v>48</v>
      </c>
      <c r="F31" s="11">
        <v>0.4</v>
      </c>
      <c r="G31" s="11">
        <v>0.13439999999999999</v>
      </c>
      <c r="H31" s="11">
        <f t="shared" si="0"/>
        <v>0.26560000000000006</v>
      </c>
      <c r="I31" s="10">
        <v>132</v>
      </c>
      <c r="J31" s="6">
        <v>0.23927999999999999</v>
      </c>
    </row>
    <row r="32" spans="1:10" x14ac:dyDescent="0.2">
      <c r="B32" s="12" t="s">
        <v>37</v>
      </c>
      <c r="C32" s="12" t="s">
        <v>1</v>
      </c>
      <c r="D32" s="12">
        <v>4</v>
      </c>
      <c r="E32" s="12">
        <v>7</v>
      </c>
      <c r="F32" s="19">
        <v>0.4083</v>
      </c>
      <c r="G32" s="19">
        <v>0.16009999999999999</v>
      </c>
      <c r="H32" s="19">
        <f t="shared" si="0"/>
        <v>0.2482</v>
      </c>
      <c r="I32" s="12">
        <v>158</v>
      </c>
      <c r="J32" s="19">
        <v>0.29088000000000003</v>
      </c>
    </row>
    <row r="33" spans="1:10" x14ac:dyDescent="0.2">
      <c r="B33" s="12" t="s">
        <v>37</v>
      </c>
      <c r="C33" s="12" t="s">
        <v>1</v>
      </c>
      <c r="D33" s="12">
        <v>4</v>
      </c>
      <c r="E33" s="12">
        <v>11</v>
      </c>
      <c r="F33" s="19">
        <v>0.38009999999999999</v>
      </c>
      <c r="G33" s="19">
        <v>0.16300000000000001</v>
      </c>
      <c r="H33" s="19">
        <f t="shared" si="0"/>
        <v>0.21709999999999999</v>
      </c>
      <c r="I33" s="12">
        <v>168</v>
      </c>
      <c r="J33" s="19">
        <v>0.27342</v>
      </c>
    </row>
    <row r="34" spans="1:10" x14ac:dyDescent="0.2">
      <c r="B34" s="12" t="s">
        <v>37</v>
      </c>
      <c r="C34" s="12" t="s">
        <v>1</v>
      </c>
      <c r="D34" s="12">
        <v>4</v>
      </c>
      <c r="E34" s="12">
        <v>14</v>
      </c>
      <c r="F34" s="19">
        <v>0.39700000000000002</v>
      </c>
      <c r="G34" s="19">
        <v>0.14199999999999999</v>
      </c>
      <c r="H34" s="19">
        <f t="shared" ref="H34:H51" si="1">F34-G34</f>
        <v>0.255</v>
      </c>
      <c r="I34" s="12">
        <v>141</v>
      </c>
      <c r="J34" s="19">
        <v>0.25662000000000001</v>
      </c>
    </row>
    <row r="35" spans="1:10" x14ac:dyDescent="0.2">
      <c r="B35" s="12" t="s">
        <v>37</v>
      </c>
      <c r="C35" s="12" t="s">
        <v>1</v>
      </c>
      <c r="D35" s="12">
        <v>4</v>
      </c>
      <c r="E35" s="12">
        <v>18</v>
      </c>
      <c r="F35" s="19">
        <v>0.39200000000000002</v>
      </c>
      <c r="G35" s="19">
        <v>0.13800000000000001</v>
      </c>
      <c r="H35" s="19">
        <f t="shared" si="1"/>
        <v>0.254</v>
      </c>
      <c r="I35" s="12">
        <v>138</v>
      </c>
      <c r="J35" s="19">
        <v>0.24484</v>
      </c>
    </row>
    <row r="36" spans="1:10" x14ac:dyDescent="0.2">
      <c r="B36" s="12" t="s">
        <v>37</v>
      </c>
      <c r="C36" s="12" t="s">
        <v>1</v>
      </c>
      <c r="D36" s="12">
        <v>4</v>
      </c>
      <c r="E36" s="12">
        <v>23</v>
      </c>
      <c r="F36" s="19">
        <v>0.3916</v>
      </c>
      <c r="G36" s="19">
        <v>0.1583</v>
      </c>
      <c r="H36" s="19">
        <f t="shared" si="1"/>
        <v>0.23330000000000001</v>
      </c>
      <c r="I36" s="12">
        <v>160</v>
      </c>
      <c r="J36" s="19">
        <v>0.27795999999999998</v>
      </c>
    </row>
    <row r="37" spans="1:10" x14ac:dyDescent="0.2">
      <c r="B37" s="12" t="s">
        <v>37</v>
      </c>
      <c r="C37" s="12" t="s">
        <v>1</v>
      </c>
      <c r="D37" s="12">
        <v>4</v>
      </c>
      <c r="E37" s="12">
        <v>33</v>
      </c>
      <c r="F37" s="19">
        <v>0.40050000000000002</v>
      </c>
      <c r="G37" s="19">
        <v>0.16189999999999999</v>
      </c>
      <c r="H37" s="19">
        <f t="shared" si="1"/>
        <v>0.23860000000000003</v>
      </c>
      <c r="I37" s="12">
        <v>161</v>
      </c>
      <c r="J37" s="19">
        <v>0.28799999999999998</v>
      </c>
    </row>
    <row r="38" spans="1:10" x14ac:dyDescent="0.2">
      <c r="B38" s="12" t="s">
        <v>37</v>
      </c>
      <c r="C38" s="12" t="s">
        <v>1</v>
      </c>
      <c r="D38" s="12">
        <v>4</v>
      </c>
      <c r="E38" s="12">
        <v>37</v>
      </c>
      <c r="F38" s="19">
        <v>0.38729999999999998</v>
      </c>
      <c r="G38" s="19">
        <v>0.14990000000000001</v>
      </c>
      <c r="H38" s="19">
        <f t="shared" si="1"/>
        <v>0.23739999999999997</v>
      </c>
      <c r="I38" s="12">
        <v>152</v>
      </c>
      <c r="J38" s="19">
        <v>0.25913000000000003</v>
      </c>
    </row>
    <row r="39" spans="1:10" x14ac:dyDescent="0.2">
      <c r="B39" s="12" t="s">
        <v>37</v>
      </c>
      <c r="C39" s="12" t="s">
        <v>1</v>
      </c>
      <c r="D39" s="12">
        <v>4</v>
      </c>
      <c r="E39" s="12">
        <v>45</v>
      </c>
      <c r="F39" s="19">
        <v>0.38450000000000001</v>
      </c>
      <c r="G39" s="19">
        <v>0.14480000000000001</v>
      </c>
      <c r="H39" s="19">
        <f t="shared" si="1"/>
        <v>0.2397</v>
      </c>
      <c r="I39" s="12">
        <v>147</v>
      </c>
      <c r="J39" s="19">
        <v>0.24984000000000001</v>
      </c>
    </row>
    <row r="40" spans="1:10" x14ac:dyDescent="0.2">
      <c r="B40" s="12" t="s">
        <v>37</v>
      </c>
      <c r="C40" s="12" t="s">
        <v>1</v>
      </c>
      <c r="D40" s="12">
        <v>4</v>
      </c>
      <c r="E40" s="12">
        <v>47</v>
      </c>
      <c r="F40" s="19">
        <v>0.41839999999999999</v>
      </c>
      <c r="G40" s="19">
        <v>0.1623</v>
      </c>
      <c r="H40" s="19">
        <f t="shared" si="1"/>
        <v>0.25609999999999999</v>
      </c>
      <c r="I40" s="12">
        <v>157</v>
      </c>
      <c r="J40" s="19">
        <v>0.30608999999999997</v>
      </c>
    </row>
    <row r="41" spans="1:10" x14ac:dyDescent="0.2">
      <c r="A41" s="10">
        <f>COUNT(F32:F41)</f>
        <v>10</v>
      </c>
      <c r="B41" s="10" t="s">
        <v>37</v>
      </c>
      <c r="C41" s="10" t="s">
        <v>1</v>
      </c>
      <c r="D41" s="10">
        <v>4</v>
      </c>
      <c r="E41" s="10">
        <v>50</v>
      </c>
      <c r="F41" s="11">
        <v>0.43140000000000001</v>
      </c>
      <c r="G41" s="11">
        <v>0.16259999999999999</v>
      </c>
      <c r="H41" s="11">
        <f t="shared" si="1"/>
        <v>0.26880000000000004</v>
      </c>
      <c r="I41" s="10">
        <v>157</v>
      </c>
      <c r="J41" s="6">
        <v>0.312</v>
      </c>
    </row>
    <row r="42" spans="1:10" x14ac:dyDescent="0.2">
      <c r="B42" s="12" t="s">
        <v>37</v>
      </c>
      <c r="C42" s="12" t="s">
        <v>22</v>
      </c>
      <c r="D42" s="12">
        <v>5</v>
      </c>
      <c r="E42" s="12">
        <v>3</v>
      </c>
      <c r="F42" s="19">
        <v>0.42509999999999998</v>
      </c>
      <c r="G42" s="19">
        <v>0.14449999999999999</v>
      </c>
      <c r="H42" s="19">
        <f t="shared" si="1"/>
        <v>0.28059999999999996</v>
      </c>
      <c r="I42" s="12">
        <v>137</v>
      </c>
      <c r="J42" s="19">
        <v>0.28023999999999999</v>
      </c>
    </row>
    <row r="43" spans="1:10" x14ac:dyDescent="0.2">
      <c r="B43" s="12" t="s">
        <v>37</v>
      </c>
      <c r="C43" s="12" t="s">
        <v>22</v>
      </c>
      <c r="D43" s="12">
        <v>5</v>
      </c>
      <c r="E43" s="12">
        <v>6</v>
      </c>
      <c r="F43" s="19">
        <v>0.41909999999999997</v>
      </c>
      <c r="G43" s="19">
        <v>0.14099999999999999</v>
      </c>
      <c r="H43" s="19">
        <f t="shared" si="1"/>
        <v>0.27810000000000001</v>
      </c>
      <c r="I43" s="12">
        <v>135</v>
      </c>
      <c r="J43" s="19">
        <v>0.26706999999999997</v>
      </c>
    </row>
    <row r="44" spans="1:10" x14ac:dyDescent="0.2">
      <c r="B44" s="12" t="s">
        <v>37</v>
      </c>
      <c r="C44" s="12" t="s">
        <v>22</v>
      </c>
      <c r="D44" s="12">
        <v>5</v>
      </c>
      <c r="E44" s="12">
        <v>9</v>
      </c>
      <c r="F44" s="19">
        <v>0.37959999999999999</v>
      </c>
      <c r="G44" s="19">
        <v>0.13880000000000001</v>
      </c>
      <c r="H44" s="19">
        <f t="shared" si="1"/>
        <v>0.24079999999999999</v>
      </c>
      <c r="I44" s="12">
        <v>142</v>
      </c>
      <c r="J44" s="19">
        <v>0.23300999999999999</v>
      </c>
    </row>
    <row r="45" spans="1:10" x14ac:dyDescent="0.2">
      <c r="A45" s="7"/>
      <c r="B45" s="7" t="s">
        <v>37</v>
      </c>
      <c r="C45" s="7" t="s">
        <v>22</v>
      </c>
      <c r="D45" s="7">
        <v>5</v>
      </c>
      <c r="E45" s="7">
        <v>10</v>
      </c>
      <c r="F45" s="19">
        <v>0.39360000000000001</v>
      </c>
      <c r="G45" s="19">
        <v>0.14599999999999999</v>
      </c>
      <c r="H45" s="19">
        <f t="shared" si="1"/>
        <v>0.24760000000000001</v>
      </c>
      <c r="I45" s="12">
        <v>145</v>
      </c>
      <c r="J45" s="19">
        <v>0.26101000000000002</v>
      </c>
    </row>
    <row r="46" spans="1:10" x14ac:dyDescent="0.2">
      <c r="B46" s="12" t="s">
        <v>37</v>
      </c>
      <c r="C46" s="12" t="s">
        <v>22</v>
      </c>
      <c r="D46" s="12">
        <v>5</v>
      </c>
      <c r="E46" s="12">
        <v>12</v>
      </c>
      <c r="F46" s="19">
        <v>0.4098</v>
      </c>
      <c r="G46" s="19">
        <v>0.1464</v>
      </c>
      <c r="H46" s="19">
        <f t="shared" si="1"/>
        <v>0.26339999999999997</v>
      </c>
      <c r="I46" s="12">
        <v>143</v>
      </c>
      <c r="J46" s="19">
        <v>0.26657999999999998</v>
      </c>
    </row>
    <row r="47" spans="1:10" x14ac:dyDescent="0.2">
      <c r="B47" s="12" t="s">
        <v>37</v>
      </c>
      <c r="C47" s="12" t="s">
        <v>22</v>
      </c>
      <c r="D47" s="12">
        <v>5</v>
      </c>
      <c r="E47" s="12">
        <v>17</v>
      </c>
      <c r="F47" s="19">
        <v>0.43930000000000002</v>
      </c>
      <c r="G47" s="19">
        <v>0.15040000000000001</v>
      </c>
      <c r="H47" s="19">
        <f t="shared" si="1"/>
        <v>0.28890000000000005</v>
      </c>
      <c r="I47" s="12">
        <v>140</v>
      </c>
      <c r="J47" s="19">
        <v>0.2999</v>
      </c>
    </row>
    <row r="48" spans="1:10" x14ac:dyDescent="0.2">
      <c r="B48" s="12" t="s">
        <v>37</v>
      </c>
      <c r="C48" s="12" t="s">
        <v>22</v>
      </c>
      <c r="D48" s="12">
        <v>5</v>
      </c>
      <c r="E48" s="12">
        <v>24</v>
      </c>
      <c r="F48" s="19">
        <v>0.38750000000000001</v>
      </c>
      <c r="G48" s="19">
        <v>0.14940000000000001</v>
      </c>
      <c r="H48" s="19">
        <f t="shared" si="1"/>
        <v>0.23810000000000001</v>
      </c>
      <c r="I48" s="12">
        <v>150</v>
      </c>
      <c r="J48" s="19">
        <v>0.26869999999999999</v>
      </c>
    </row>
    <row r="49" spans="1:10" x14ac:dyDescent="0.2">
      <c r="B49" s="12" t="s">
        <v>37</v>
      </c>
      <c r="C49" s="12" t="s">
        <v>22</v>
      </c>
      <c r="D49" s="12">
        <v>5</v>
      </c>
      <c r="E49" s="12">
        <v>35</v>
      </c>
      <c r="F49" s="19">
        <v>0.43819999999999998</v>
      </c>
      <c r="G49" s="19">
        <v>0.14549999999999999</v>
      </c>
      <c r="H49" s="19">
        <f t="shared" si="1"/>
        <v>0.29269999999999996</v>
      </c>
      <c r="I49" s="12">
        <v>137</v>
      </c>
      <c r="J49" s="19">
        <v>0.29066999999999998</v>
      </c>
    </row>
    <row r="50" spans="1:10" x14ac:dyDescent="0.2">
      <c r="B50" s="12" t="s">
        <v>37</v>
      </c>
      <c r="C50" s="12" t="s">
        <v>22</v>
      </c>
      <c r="D50" s="12">
        <v>5</v>
      </c>
      <c r="E50" s="12">
        <v>44</v>
      </c>
      <c r="F50" s="19">
        <v>0.44729999999999998</v>
      </c>
      <c r="G50" s="19">
        <v>0.16300000000000001</v>
      </c>
      <c r="H50" s="19">
        <f t="shared" si="1"/>
        <v>0.2843</v>
      </c>
      <c r="I50" s="12">
        <v>153</v>
      </c>
      <c r="J50" s="113">
        <v>0.32525999999999999</v>
      </c>
    </row>
    <row r="51" spans="1:10" x14ac:dyDescent="0.2">
      <c r="A51" s="10">
        <f>COUNT(F42:F51)</f>
        <v>10</v>
      </c>
      <c r="B51" s="10" t="s">
        <v>37</v>
      </c>
      <c r="C51" s="10" t="s">
        <v>22</v>
      </c>
      <c r="D51" s="10">
        <v>5</v>
      </c>
      <c r="E51" s="10">
        <v>49</v>
      </c>
      <c r="F51" s="11">
        <v>0.45279999999999998</v>
      </c>
      <c r="G51" s="11">
        <v>0.15310000000000001</v>
      </c>
      <c r="H51" s="11">
        <f t="shared" si="1"/>
        <v>0.29969999999999997</v>
      </c>
      <c r="I51" s="10">
        <v>140</v>
      </c>
      <c r="J51" s="6">
        <v>0.31386999999999998</v>
      </c>
    </row>
    <row r="52" spans="1:10" x14ac:dyDescent="0.2">
      <c r="A52" s="12">
        <f>COUNT(F2:F51)</f>
        <v>50</v>
      </c>
    </row>
  </sheetData>
  <printOptions horizontalCentered="1"/>
  <pageMargins left="0.25" right="0.25" top="0.75" bottom="0.75" header="0.3" footer="0.3"/>
  <pageSetup scale="93" orientation="portrait" r:id="rId1"/>
  <headerFooter>
    <oddHeader>&amp;F</oddHeader>
    <oddFooter>&amp;C&amp;A&amp;R&amp;D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52"/>
  <sheetViews>
    <sheetView workbookViewId="0">
      <selection activeCell="K1" sqref="K1:N1048576"/>
    </sheetView>
  </sheetViews>
  <sheetFormatPr defaultRowHeight="12.75" x14ac:dyDescent="0.2"/>
  <cols>
    <col min="1" max="1" width="3.75" style="12" customWidth="1"/>
    <col min="2" max="2" width="9.875" style="12" bestFit="1" customWidth="1"/>
    <col min="3" max="3" width="8.125" style="7" bestFit="1" customWidth="1"/>
    <col min="4" max="4" width="5.375" style="12" bestFit="1" customWidth="1"/>
    <col min="5" max="5" width="5.875" style="12" bestFit="1" customWidth="1"/>
    <col min="6" max="6" width="5.75" style="19" bestFit="1" customWidth="1"/>
    <col min="7" max="7" width="7.25" style="19" customWidth="1"/>
    <col min="8" max="8" width="6.75" style="19" bestFit="1" customWidth="1"/>
    <col min="9" max="10" width="5.875" style="9" customWidth="1"/>
    <col min="11" max="16384" width="9" style="12"/>
  </cols>
  <sheetData>
    <row r="1" spans="1:10" s="102" customFormat="1" ht="52.5" x14ac:dyDescent="0.2">
      <c r="A1" s="28" t="s">
        <v>0</v>
      </c>
      <c r="B1" s="28" t="s">
        <v>32</v>
      </c>
      <c r="C1" s="28" t="s">
        <v>3</v>
      </c>
      <c r="D1" s="28" t="s">
        <v>33</v>
      </c>
      <c r="E1" s="28" t="s">
        <v>34</v>
      </c>
      <c r="F1" s="6" t="s">
        <v>44</v>
      </c>
      <c r="G1" s="6" t="s">
        <v>45</v>
      </c>
      <c r="H1" s="6" t="s">
        <v>46</v>
      </c>
      <c r="I1" s="2" t="s">
        <v>47</v>
      </c>
      <c r="J1" s="2" t="s">
        <v>48</v>
      </c>
    </row>
    <row r="2" spans="1:10" x14ac:dyDescent="0.2">
      <c r="B2" s="7" t="s">
        <v>36</v>
      </c>
      <c r="C2" s="7" t="s">
        <v>21</v>
      </c>
      <c r="D2" s="7">
        <v>1</v>
      </c>
      <c r="E2" s="7">
        <v>2</v>
      </c>
      <c r="F2" s="8">
        <v>13.62</v>
      </c>
      <c r="G2" s="19">
        <v>226.66759999999999</v>
      </c>
      <c r="H2" s="19">
        <v>6.2946999999999997</v>
      </c>
      <c r="I2" s="9">
        <v>38.299999999999997</v>
      </c>
      <c r="J2" s="9">
        <v>159</v>
      </c>
    </row>
    <row r="3" spans="1:10" x14ac:dyDescent="0.2">
      <c r="B3" s="7" t="s">
        <v>36</v>
      </c>
      <c r="C3" s="7" t="s">
        <v>21</v>
      </c>
      <c r="D3" s="7">
        <v>1</v>
      </c>
      <c r="E3" s="7">
        <v>4</v>
      </c>
      <c r="F3" s="8">
        <v>15.7</v>
      </c>
      <c r="G3" s="19">
        <v>237.3021</v>
      </c>
      <c r="H3" s="19">
        <v>5.9248000000000003</v>
      </c>
      <c r="I3" s="9">
        <v>41.300000000000004</v>
      </c>
      <c r="J3" s="9">
        <v>166.9</v>
      </c>
    </row>
    <row r="4" spans="1:10" x14ac:dyDescent="0.2">
      <c r="B4" s="7" t="s">
        <v>36</v>
      </c>
      <c r="C4" s="7" t="s">
        <v>21</v>
      </c>
      <c r="D4" s="7">
        <v>1</v>
      </c>
      <c r="E4" s="7">
        <v>8</v>
      </c>
      <c r="F4" s="8">
        <v>12.47</v>
      </c>
      <c r="G4" s="19">
        <v>170.54390000000001</v>
      </c>
      <c r="H4" s="19">
        <v>5.9298999999999999</v>
      </c>
      <c r="I4" s="9">
        <v>38.9</v>
      </c>
      <c r="J4" s="9">
        <v>167.5</v>
      </c>
    </row>
    <row r="5" spans="1:10" x14ac:dyDescent="0.2">
      <c r="B5" s="7" t="s">
        <v>36</v>
      </c>
      <c r="C5" s="7" t="s">
        <v>21</v>
      </c>
      <c r="D5" s="7">
        <v>1</v>
      </c>
      <c r="E5" s="7">
        <v>13</v>
      </c>
      <c r="F5" s="8">
        <v>11.12</v>
      </c>
      <c r="G5" s="19">
        <v>180.3998</v>
      </c>
      <c r="H5" s="19">
        <v>5.8846999999999996</v>
      </c>
      <c r="I5" s="9">
        <v>36</v>
      </c>
      <c r="J5" s="9">
        <v>171.2</v>
      </c>
    </row>
    <row r="6" spans="1:10" x14ac:dyDescent="0.2">
      <c r="B6" s="7" t="s">
        <v>36</v>
      </c>
      <c r="C6" s="7" t="s">
        <v>21</v>
      </c>
      <c r="D6" s="7">
        <v>1</v>
      </c>
      <c r="E6" s="7">
        <v>21</v>
      </c>
      <c r="F6" s="8">
        <v>13.08</v>
      </c>
      <c r="G6" s="19">
        <v>233.98519999999999</v>
      </c>
      <c r="H6" s="19">
        <v>6.1783000000000001</v>
      </c>
      <c r="I6" s="9">
        <v>36.4</v>
      </c>
      <c r="J6" s="9">
        <v>158.6</v>
      </c>
    </row>
    <row r="7" spans="1:10" x14ac:dyDescent="0.2">
      <c r="B7" s="7" t="s">
        <v>36</v>
      </c>
      <c r="C7" s="7" t="s">
        <v>21</v>
      </c>
      <c r="D7" s="7">
        <v>1</v>
      </c>
      <c r="E7" s="7">
        <v>27</v>
      </c>
      <c r="F7" s="8">
        <v>17.330000000000002</v>
      </c>
      <c r="G7" s="19">
        <v>250.9873</v>
      </c>
      <c r="H7" s="19">
        <v>6.7435999999999998</v>
      </c>
      <c r="I7" s="9">
        <v>41.8</v>
      </c>
      <c r="J7" s="9">
        <v>145.4</v>
      </c>
    </row>
    <row r="8" spans="1:10" x14ac:dyDescent="0.2">
      <c r="A8" s="7"/>
      <c r="B8" s="7" t="s">
        <v>36</v>
      </c>
      <c r="C8" s="7" t="s">
        <v>21</v>
      </c>
      <c r="D8" s="7">
        <v>1</v>
      </c>
      <c r="E8" s="7">
        <v>30</v>
      </c>
      <c r="F8" s="8">
        <v>15.25</v>
      </c>
      <c r="G8" s="19">
        <v>212.40799999999999</v>
      </c>
      <c r="H8" s="19">
        <v>5.8993000000000002</v>
      </c>
      <c r="I8" s="9">
        <v>40.200000000000003</v>
      </c>
      <c r="J8" s="9">
        <v>169.3</v>
      </c>
    </row>
    <row r="9" spans="1:10" x14ac:dyDescent="0.2">
      <c r="B9" s="7" t="s">
        <v>36</v>
      </c>
      <c r="C9" s="7" t="s">
        <v>21</v>
      </c>
      <c r="D9" s="7">
        <v>1</v>
      </c>
      <c r="E9" s="7">
        <v>31</v>
      </c>
      <c r="F9" s="8">
        <v>12.49</v>
      </c>
      <c r="G9" s="19">
        <v>195.11940000000001</v>
      </c>
      <c r="H9" s="19">
        <v>6.3647</v>
      </c>
      <c r="I9" s="9">
        <v>38</v>
      </c>
      <c r="J9" s="9">
        <v>158.6</v>
      </c>
    </row>
    <row r="10" spans="1:10" x14ac:dyDescent="0.2">
      <c r="B10" s="7" t="s">
        <v>36</v>
      </c>
      <c r="C10" s="7" t="s">
        <v>21</v>
      </c>
      <c r="D10" s="7">
        <v>1</v>
      </c>
      <c r="E10" s="7">
        <v>34</v>
      </c>
      <c r="F10" s="8">
        <v>15.629999999999999</v>
      </c>
      <c r="G10" s="19">
        <v>287.4846</v>
      </c>
      <c r="H10" s="19">
        <v>5.9602000000000004</v>
      </c>
      <c r="I10" s="9">
        <v>39.199999999999996</v>
      </c>
      <c r="J10" s="9">
        <v>166.8</v>
      </c>
    </row>
    <row r="11" spans="1:10" x14ac:dyDescent="0.2">
      <c r="A11" s="10">
        <f>COUNT(F2:F11)</f>
        <v>10</v>
      </c>
      <c r="B11" s="10" t="s">
        <v>36</v>
      </c>
      <c r="C11" s="10" t="s">
        <v>21</v>
      </c>
      <c r="D11" s="10">
        <v>1</v>
      </c>
      <c r="E11" s="10">
        <v>39</v>
      </c>
      <c r="F11" s="6">
        <v>14.52</v>
      </c>
      <c r="G11" s="6">
        <v>213.71469999999999</v>
      </c>
      <c r="H11" s="6">
        <v>6.3451000000000004</v>
      </c>
      <c r="I11" s="2">
        <v>40.5</v>
      </c>
      <c r="J11" s="2">
        <v>158</v>
      </c>
    </row>
    <row r="12" spans="1:10" x14ac:dyDescent="0.2">
      <c r="B12" s="105" t="s">
        <v>36</v>
      </c>
      <c r="C12" s="7" t="s">
        <v>1</v>
      </c>
      <c r="D12" s="105">
        <v>2</v>
      </c>
      <c r="E12" s="105">
        <v>5</v>
      </c>
      <c r="F12" s="8">
        <v>12.78</v>
      </c>
      <c r="G12" s="19">
        <v>224.7022</v>
      </c>
      <c r="H12" s="19">
        <v>5.8852000000000002</v>
      </c>
      <c r="I12" s="9">
        <v>38.6</v>
      </c>
      <c r="J12" s="9">
        <v>170.9</v>
      </c>
    </row>
    <row r="13" spans="1:10" x14ac:dyDescent="0.2">
      <c r="B13" s="7" t="s">
        <v>36</v>
      </c>
      <c r="C13" s="7" t="s">
        <v>1</v>
      </c>
      <c r="D13" s="7">
        <v>2</v>
      </c>
      <c r="E13" s="7">
        <v>15</v>
      </c>
      <c r="F13" s="8">
        <v>13.120000000000001</v>
      </c>
      <c r="G13" s="19">
        <v>200.0111</v>
      </c>
      <c r="H13" s="19">
        <v>5.7637999999999998</v>
      </c>
      <c r="I13" s="9">
        <v>37.900000000000006</v>
      </c>
      <c r="J13" s="9">
        <v>174.2</v>
      </c>
    </row>
    <row r="14" spans="1:10" x14ac:dyDescent="0.2">
      <c r="A14" s="7"/>
      <c r="B14" s="7" t="s">
        <v>36</v>
      </c>
      <c r="C14" s="7" t="s">
        <v>1</v>
      </c>
      <c r="D14" s="7">
        <v>2</v>
      </c>
      <c r="E14" s="7">
        <v>20</v>
      </c>
      <c r="F14" s="8">
        <v>9.44</v>
      </c>
      <c r="G14" s="19">
        <v>147.56200000000001</v>
      </c>
      <c r="H14" s="19">
        <v>5.3647999999999998</v>
      </c>
      <c r="I14" s="9">
        <v>34.1</v>
      </c>
      <c r="J14" s="9">
        <v>187.1</v>
      </c>
    </row>
    <row r="15" spans="1:10" x14ac:dyDescent="0.2">
      <c r="B15" s="7" t="s">
        <v>36</v>
      </c>
      <c r="C15" s="7" t="s">
        <v>1</v>
      </c>
      <c r="D15" s="7">
        <v>2</v>
      </c>
      <c r="E15" s="7">
        <v>26</v>
      </c>
      <c r="F15" s="8">
        <v>12.44</v>
      </c>
      <c r="G15" s="19">
        <v>171.6259</v>
      </c>
      <c r="H15" s="19">
        <v>5.2278000000000002</v>
      </c>
      <c r="I15" s="9">
        <v>40.300000000000004</v>
      </c>
      <c r="J15" s="9">
        <v>191</v>
      </c>
    </row>
    <row r="16" spans="1:10" x14ac:dyDescent="0.2">
      <c r="B16" s="7" t="s">
        <v>36</v>
      </c>
      <c r="C16" s="7" t="s">
        <v>1</v>
      </c>
      <c r="D16" s="7">
        <v>2</v>
      </c>
      <c r="E16" s="7">
        <v>29</v>
      </c>
      <c r="F16" s="8">
        <v>12.520000000000001</v>
      </c>
      <c r="G16" s="19">
        <v>212.8706</v>
      </c>
      <c r="H16" s="19">
        <v>5.2511999999999999</v>
      </c>
      <c r="I16" s="9">
        <v>38.299999999999997</v>
      </c>
      <c r="J16" s="9">
        <v>191.1</v>
      </c>
    </row>
    <row r="17" spans="1:10" x14ac:dyDescent="0.2">
      <c r="B17" s="7" t="s">
        <v>36</v>
      </c>
      <c r="C17" s="7" t="s">
        <v>1</v>
      </c>
      <c r="D17" s="7">
        <v>2</v>
      </c>
      <c r="E17" s="7">
        <v>32</v>
      </c>
      <c r="F17" s="8">
        <v>13.08</v>
      </c>
      <c r="G17" s="19">
        <v>226.47790000000001</v>
      </c>
      <c r="H17" s="19">
        <v>6.0792999999999999</v>
      </c>
      <c r="I17" s="9">
        <v>36.5</v>
      </c>
      <c r="J17" s="9">
        <v>162.1</v>
      </c>
    </row>
    <row r="18" spans="1:10" x14ac:dyDescent="0.2">
      <c r="B18" s="7" t="s">
        <v>36</v>
      </c>
      <c r="C18" s="7" t="s">
        <v>1</v>
      </c>
      <c r="D18" s="7">
        <v>2</v>
      </c>
      <c r="E18" s="7">
        <v>36</v>
      </c>
      <c r="F18" s="8">
        <v>14.360000000000001</v>
      </c>
      <c r="G18" s="19">
        <v>216.34950000000001</v>
      </c>
      <c r="H18" s="19">
        <v>5.7824999999999998</v>
      </c>
      <c r="I18" s="9">
        <v>40.9</v>
      </c>
      <c r="J18" s="9">
        <v>172.1</v>
      </c>
    </row>
    <row r="19" spans="1:10" x14ac:dyDescent="0.2">
      <c r="B19" s="7" t="s">
        <v>36</v>
      </c>
      <c r="C19" s="7" t="s">
        <v>1</v>
      </c>
      <c r="D19" s="7">
        <v>2</v>
      </c>
      <c r="E19" s="7">
        <v>42</v>
      </c>
      <c r="F19" s="8">
        <v>10.14</v>
      </c>
      <c r="G19" s="19">
        <v>122.5005</v>
      </c>
      <c r="H19" s="19">
        <v>5.3312999999999997</v>
      </c>
      <c r="I19" s="9">
        <v>37.1</v>
      </c>
      <c r="J19" s="9">
        <v>188.4</v>
      </c>
    </row>
    <row r="20" spans="1:10" x14ac:dyDescent="0.2">
      <c r="B20" s="7" t="s">
        <v>36</v>
      </c>
      <c r="C20" s="7" t="s">
        <v>1</v>
      </c>
      <c r="D20" s="7">
        <v>2</v>
      </c>
      <c r="E20" s="7">
        <v>43</v>
      </c>
      <c r="F20" s="8">
        <v>15.559999999999999</v>
      </c>
      <c r="G20" s="19">
        <v>222.9315</v>
      </c>
      <c r="H20" s="19">
        <v>5.9013</v>
      </c>
      <c r="I20" s="9">
        <v>41.2</v>
      </c>
      <c r="J20" s="9">
        <v>165.8</v>
      </c>
    </row>
    <row r="21" spans="1:10" x14ac:dyDescent="0.2">
      <c r="A21" s="10">
        <f>COUNT(F12:F21)</f>
        <v>10</v>
      </c>
      <c r="B21" s="10" t="s">
        <v>36</v>
      </c>
      <c r="C21" s="10" t="s">
        <v>1</v>
      </c>
      <c r="D21" s="10">
        <v>2</v>
      </c>
      <c r="E21" s="10">
        <v>46</v>
      </c>
      <c r="F21" s="6">
        <v>12.97</v>
      </c>
      <c r="G21" s="6">
        <v>206.57300000000001</v>
      </c>
      <c r="H21" s="6">
        <v>5.6790000000000003</v>
      </c>
      <c r="I21" s="2">
        <v>37.6</v>
      </c>
      <c r="J21" s="2">
        <v>175.8</v>
      </c>
    </row>
    <row r="22" spans="1:10" x14ac:dyDescent="0.2">
      <c r="B22" s="105" t="s">
        <v>36</v>
      </c>
      <c r="C22" s="7" t="s">
        <v>22</v>
      </c>
      <c r="D22" s="105">
        <v>3</v>
      </c>
      <c r="E22" s="105">
        <v>1</v>
      </c>
      <c r="F22" s="8">
        <v>5.6000000000000005</v>
      </c>
      <c r="G22" s="19">
        <v>35.368099999999998</v>
      </c>
      <c r="H22" s="19">
        <v>4.3452999999999999</v>
      </c>
      <c r="I22" s="9">
        <v>38.5</v>
      </c>
      <c r="J22" s="9">
        <v>231.7</v>
      </c>
    </row>
    <row r="23" spans="1:10" x14ac:dyDescent="0.2">
      <c r="B23" s="7" t="s">
        <v>36</v>
      </c>
      <c r="C23" s="7" t="s">
        <v>22</v>
      </c>
      <c r="D23" s="7">
        <v>3</v>
      </c>
      <c r="E23" s="7">
        <v>16</v>
      </c>
      <c r="F23" s="8">
        <v>5.26</v>
      </c>
      <c r="G23" s="19">
        <v>47.898299999999999</v>
      </c>
      <c r="H23" s="19">
        <v>4.4607000000000001</v>
      </c>
      <c r="I23" s="9">
        <v>34.6</v>
      </c>
      <c r="J23" s="9">
        <v>231.3</v>
      </c>
    </row>
    <row r="24" spans="1:10" x14ac:dyDescent="0.2">
      <c r="B24" s="7" t="s">
        <v>36</v>
      </c>
      <c r="C24" s="7" t="s">
        <v>22</v>
      </c>
      <c r="D24" s="7">
        <v>3</v>
      </c>
      <c r="E24" s="7">
        <v>19</v>
      </c>
      <c r="F24" s="8">
        <v>3.15</v>
      </c>
      <c r="G24" s="19">
        <v>25.2561</v>
      </c>
      <c r="H24" s="19">
        <v>3.5916999999999999</v>
      </c>
      <c r="I24" s="9">
        <v>37.799999999999997</v>
      </c>
      <c r="J24" s="9">
        <v>288</v>
      </c>
    </row>
    <row r="25" spans="1:10" x14ac:dyDescent="0.2">
      <c r="B25" s="7" t="s">
        <v>36</v>
      </c>
      <c r="C25" s="7" t="s">
        <v>22</v>
      </c>
      <c r="D25" s="7">
        <v>3</v>
      </c>
      <c r="E25" s="7">
        <v>22</v>
      </c>
      <c r="F25" s="8">
        <v>8.42</v>
      </c>
      <c r="G25" s="19">
        <v>77.971999999999994</v>
      </c>
      <c r="H25" s="19">
        <v>4.3772000000000002</v>
      </c>
      <c r="I25" s="9">
        <v>45.199999999999996</v>
      </c>
      <c r="J25" s="9">
        <v>232.2</v>
      </c>
    </row>
    <row r="26" spans="1:10" x14ac:dyDescent="0.2">
      <c r="B26" s="7" t="s">
        <v>36</v>
      </c>
      <c r="C26" s="7" t="s">
        <v>22</v>
      </c>
      <c r="D26" s="7">
        <v>3</v>
      </c>
      <c r="E26" s="7">
        <v>25</v>
      </c>
      <c r="F26" s="8">
        <v>5.82</v>
      </c>
      <c r="G26" s="19">
        <v>58.572099999999999</v>
      </c>
      <c r="H26" s="19">
        <v>4.2171000000000003</v>
      </c>
      <c r="I26" s="9">
        <v>38.199999999999996</v>
      </c>
      <c r="J26" s="9">
        <v>241.2</v>
      </c>
    </row>
    <row r="27" spans="1:10" x14ac:dyDescent="0.2">
      <c r="B27" s="7" t="s">
        <v>36</v>
      </c>
      <c r="C27" s="7" t="s">
        <v>22</v>
      </c>
      <c r="D27" s="7">
        <v>3</v>
      </c>
      <c r="E27" s="7">
        <v>28</v>
      </c>
      <c r="F27" s="8">
        <v>7.99</v>
      </c>
      <c r="G27" s="19">
        <v>51.293500000000002</v>
      </c>
      <c r="H27" s="19">
        <v>4.4672999999999998</v>
      </c>
      <c r="I27" s="9">
        <v>44.3</v>
      </c>
      <c r="J27" s="9">
        <v>223</v>
      </c>
    </row>
    <row r="28" spans="1:10" x14ac:dyDescent="0.2">
      <c r="B28" s="7" t="s">
        <v>36</v>
      </c>
      <c r="C28" s="7" t="s">
        <v>22</v>
      </c>
      <c r="D28" s="7">
        <v>3</v>
      </c>
      <c r="E28" s="7">
        <v>38</v>
      </c>
      <c r="F28" s="8">
        <v>5.8000000000000007</v>
      </c>
      <c r="G28" s="19">
        <v>48.700400000000002</v>
      </c>
      <c r="H28" s="19">
        <v>4.2007000000000003</v>
      </c>
      <c r="I28" s="9">
        <v>38</v>
      </c>
      <c r="J28" s="9">
        <v>242.10000000000002</v>
      </c>
    </row>
    <row r="29" spans="1:10" x14ac:dyDescent="0.2">
      <c r="A29" s="7"/>
      <c r="B29" s="7" t="s">
        <v>36</v>
      </c>
      <c r="C29" s="7" t="s">
        <v>22</v>
      </c>
      <c r="D29" s="7">
        <v>3</v>
      </c>
      <c r="E29" s="7">
        <v>40</v>
      </c>
      <c r="F29" s="8">
        <v>8.86</v>
      </c>
      <c r="G29" s="19">
        <v>85.947599999999994</v>
      </c>
      <c r="H29" s="19">
        <v>4.4854000000000003</v>
      </c>
      <c r="I29" s="9">
        <v>47.6</v>
      </c>
      <c r="J29" s="9">
        <v>225.70000000000002</v>
      </c>
    </row>
    <row r="30" spans="1:10" x14ac:dyDescent="0.2">
      <c r="B30" s="7" t="s">
        <v>36</v>
      </c>
      <c r="C30" s="7" t="s">
        <v>22</v>
      </c>
      <c r="D30" s="7">
        <v>3</v>
      </c>
      <c r="E30" s="7">
        <v>41</v>
      </c>
      <c r="F30" s="8">
        <v>8.6900000000000013</v>
      </c>
      <c r="G30" s="19">
        <v>94.898799999999994</v>
      </c>
      <c r="H30" s="19">
        <v>4.9568000000000003</v>
      </c>
      <c r="I30" s="9">
        <v>39.300000000000004</v>
      </c>
      <c r="J30" s="9">
        <v>202.6</v>
      </c>
    </row>
    <row r="31" spans="1:10" x14ac:dyDescent="0.2">
      <c r="A31" s="10">
        <f>COUNT(F22:F31)</f>
        <v>10</v>
      </c>
      <c r="B31" s="10" t="s">
        <v>36</v>
      </c>
      <c r="C31" s="10" t="s">
        <v>22</v>
      </c>
      <c r="D31" s="10">
        <v>3</v>
      </c>
      <c r="E31" s="10">
        <v>48</v>
      </c>
      <c r="F31" s="6">
        <v>2.97</v>
      </c>
      <c r="G31" s="6">
        <v>16.139600000000002</v>
      </c>
      <c r="H31" s="6">
        <v>3.8858000000000001</v>
      </c>
      <c r="I31" s="2">
        <v>38.299999999999997</v>
      </c>
      <c r="J31" s="2">
        <v>280.60000000000002</v>
      </c>
    </row>
    <row r="32" spans="1:10" x14ac:dyDescent="0.2">
      <c r="B32" s="105" t="s">
        <v>37</v>
      </c>
      <c r="C32" s="7" t="s">
        <v>1</v>
      </c>
      <c r="D32" s="105">
        <v>4</v>
      </c>
      <c r="E32" s="105">
        <v>7</v>
      </c>
      <c r="F32" s="8">
        <v>19.38</v>
      </c>
      <c r="G32" s="19">
        <v>262.47919999999999</v>
      </c>
      <c r="H32" s="19">
        <v>6.3121999999999998</v>
      </c>
      <c r="I32" s="9">
        <v>43.1</v>
      </c>
      <c r="J32" s="9">
        <v>153.4</v>
      </c>
    </row>
    <row r="33" spans="1:10" x14ac:dyDescent="0.2">
      <c r="B33" s="7" t="s">
        <v>37</v>
      </c>
      <c r="C33" s="7" t="s">
        <v>1</v>
      </c>
      <c r="D33" s="7">
        <v>4</v>
      </c>
      <c r="E33" s="7">
        <v>11</v>
      </c>
      <c r="F33" s="8">
        <v>18.440000000000001</v>
      </c>
      <c r="G33" s="19">
        <v>268.78039999999999</v>
      </c>
      <c r="H33" s="19">
        <v>5.9661999999999997</v>
      </c>
      <c r="I33" s="9">
        <v>43</v>
      </c>
      <c r="J33" s="9">
        <v>163.39999999999998</v>
      </c>
    </row>
    <row r="34" spans="1:10" x14ac:dyDescent="0.2">
      <c r="B34" s="7" t="s">
        <v>37</v>
      </c>
      <c r="C34" s="7" t="s">
        <v>1</v>
      </c>
      <c r="D34" s="7">
        <v>4</v>
      </c>
      <c r="E34" s="7">
        <v>14</v>
      </c>
      <c r="F34" s="8">
        <v>17.560000000000002</v>
      </c>
      <c r="G34" s="19">
        <v>325.57530000000003</v>
      </c>
      <c r="H34" s="19">
        <v>6.5427</v>
      </c>
      <c r="I34" s="9">
        <v>41.2</v>
      </c>
      <c r="J34" s="9">
        <v>151.4</v>
      </c>
    </row>
    <row r="35" spans="1:10" x14ac:dyDescent="0.2">
      <c r="B35" s="7" t="s">
        <v>37</v>
      </c>
      <c r="C35" s="7" t="s">
        <v>1</v>
      </c>
      <c r="D35" s="7">
        <v>4</v>
      </c>
      <c r="E35" s="7">
        <v>18</v>
      </c>
      <c r="F35" s="8">
        <v>18.63</v>
      </c>
      <c r="G35" s="19">
        <v>313.79379999999998</v>
      </c>
      <c r="H35" s="19">
        <v>6.7058</v>
      </c>
      <c r="I35" s="9">
        <v>39.199999999999996</v>
      </c>
      <c r="J35" s="9">
        <v>145</v>
      </c>
    </row>
    <row r="36" spans="1:10" x14ac:dyDescent="0.2">
      <c r="B36" s="7" t="s">
        <v>37</v>
      </c>
      <c r="C36" s="7" t="s">
        <v>1</v>
      </c>
      <c r="D36" s="7">
        <v>4</v>
      </c>
      <c r="E36" s="7">
        <v>23</v>
      </c>
      <c r="F36" s="8">
        <v>19.45</v>
      </c>
      <c r="G36" s="19">
        <v>276.66239999999999</v>
      </c>
      <c r="H36" s="19">
        <v>6.5065</v>
      </c>
      <c r="I36" s="9">
        <v>42</v>
      </c>
      <c r="J36" s="9">
        <v>152.69999999999999</v>
      </c>
    </row>
    <row r="37" spans="1:10" x14ac:dyDescent="0.2">
      <c r="B37" s="7" t="s">
        <v>37</v>
      </c>
      <c r="C37" s="7" t="s">
        <v>1</v>
      </c>
      <c r="D37" s="7">
        <v>4</v>
      </c>
      <c r="E37" s="7">
        <v>33</v>
      </c>
      <c r="F37" s="8">
        <v>15.61</v>
      </c>
      <c r="G37" s="19">
        <v>278.74639999999999</v>
      </c>
      <c r="H37" s="19">
        <v>6.2472000000000003</v>
      </c>
      <c r="I37" s="9">
        <v>39.5</v>
      </c>
      <c r="J37" s="9">
        <v>158.6</v>
      </c>
    </row>
    <row r="38" spans="1:10" x14ac:dyDescent="0.2">
      <c r="B38" s="7" t="s">
        <v>37</v>
      </c>
      <c r="C38" s="7" t="s">
        <v>1</v>
      </c>
      <c r="D38" s="7">
        <v>4</v>
      </c>
      <c r="E38" s="7">
        <v>37</v>
      </c>
      <c r="F38" s="8">
        <v>19.28</v>
      </c>
      <c r="G38" s="19">
        <v>309.0881</v>
      </c>
      <c r="H38" s="19">
        <v>6.4413</v>
      </c>
      <c r="I38" s="9">
        <v>42.5</v>
      </c>
      <c r="J38" s="9">
        <v>151.10000000000002</v>
      </c>
    </row>
    <row r="39" spans="1:10" x14ac:dyDescent="0.2">
      <c r="B39" s="7" t="s">
        <v>37</v>
      </c>
      <c r="C39" s="7" t="s">
        <v>1</v>
      </c>
      <c r="D39" s="7">
        <v>4</v>
      </c>
      <c r="E39" s="7">
        <v>45</v>
      </c>
      <c r="F39" s="8">
        <v>16.53</v>
      </c>
      <c r="G39" s="19">
        <v>264.82369999999997</v>
      </c>
      <c r="H39" s="19">
        <v>6.3150000000000004</v>
      </c>
      <c r="I39" s="9">
        <v>42.3</v>
      </c>
      <c r="J39" s="9">
        <v>154.29999999999998</v>
      </c>
    </row>
    <row r="40" spans="1:10" x14ac:dyDescent="0.2">
      <c r="B40" s="7" t="s">
        <v>37</v>
      </c>
      <c r="C40" s="7" t="s">
        <v>1</v>
      </c>
      <c r="D40" s="7">
        <v>4</v>
      </c>
      <c r="E40" s="7">
        <v>47</v>
      </c>
      <c r="F40" s="8">
        <v>17.41</v>
      </c>
      <c r="G40" s="19">
        <v>240.6001</v>
      </c>
      <c r="H40" s="19">
        <v>5.8365999999999998</v>
      </c>
      <c r="I40" s="9">
        <v>45.3</v>
      </c>
      <c r="J40" s="9">
        <v>167.5</v>
      </c>
    </row>
    <row r="41" spans="1:10" x14ac:dyDescent="0.2">
      <c r="A41" s="10">
        <f>COUNT(F32:F41)</f>
        <v>10</v>
      </c>
      <c r="B41" s="10" t="s">
        <v>37</v>
      </c>
      <c r="C41" s="10" t="s">
        <v>1</v>
      </c>
      <c r="D41" s="10">
        <v>4</v>
      </c>
      <c r="E41" s="10">
        <v>50</v>
      </c>
      <c r="F41" s="6">
        <v>17.66</v>
      </c>
      <c r="G41" s="6">
        <v>267.00040000000001</v>
      </c>
      <c r="H41" s="6">
        <v>6.3183999999999996</v>
      </c>
      <c r="I41" s="2">
        <v>40.700000000000003</v>
      </c>
      <c r="J41" s="2">
        <v>154.9</v>
      </c>
    </row>
    <row r="42" spans="1:10" x14ac:dyDescent="0.2">
      <c r="B42" s="105" t="s">
        <v>37</v>
      </c>
      <c r="C42" s="7" t="s">
        <v>22</v>
      </c>
      <c r="D42" s="105">
        <v>5</v>
      </c>
      <c r="E42" s="105">
        <v>3</v>
      </c>
      <c r="F42" s="8">
        <v>12.839999999999998</v>
      </c>
      <c r="G42" s="19">
        <v>194.28970000000001</v>
      </c>
      <c r="H42" s="19">
        <v>6.1052999999999997</v>
      </c>
      <c r="I42" s="9">
        <v>37.299999999999997</v>
      </c>
      <c r="J42" s="9">
        <v>158.29999999999998</v>
      </c>
    </row>
    <row r="43" spans="1:10" x14ac:dyDescent="0.2">
      <c r="B43" s="7" t="s">
        <v>37</v>
      </c>
      <c r="C43" s="7" t="s">
        <v>22</v>
      </c>
      <c r="D43" s="7">
        <v>5</v>
      </c>
      <c r="E43" s="7">
        <v>6</v>
      </c>
      <c r="F43" s="8">
        <v>15.1</v>
      </c>
      <c r="G43" s="19">
        <v>261.70519999999999</v>
      </c>
      <c r="H43" s="19">
        <v>6.0437000000000003</v>
      </c>
      <c r="I43" s="9">
        <v>39.199999999999996</v>
      </c>
      <c r="J43" s="9">
        <v>162.20000000000002</v>
      </c>
    </row>
    <row r="44" spans="1:10" x14ac:dyDescent="0.2">
      <c r="B44" s="7" t="s">
        <v>37</v>
      </c>
      <c r="C44" s="7" t="s">
        <v>22</v>
      </c>
      <c r="D44" s="7">
        <v>5</v>
      </c>
      <c r="E44" s="7">
        <v>9</v>
      </c>
      <c r="F44" s="8">
        <v>15.83</v>
      </c>
      <c r="G44" s="19">
        <v>253.679</v>
      </c>
      <c r="H44" s="19">
        <v>6.1557000000000004</v>
      </c>
      <c r="I44" s="9">
        <v>40.200000000000003</v>
      </c>
      <c r="J44" s="9">
        <v>161</v>
      </c>
    </row>
    <row r="45" spans="1:10" x14ac:dyDescent="0.2">
      <c r="A45" s="7"/>
      <c r="B45" s="7" t="s">
        <v>37</v>
      </c>
      <c r="C45" s="7" t="s">
        <v>22</v>
      </c>
      <c r="D45" s="7">
        <v>5</v>
      </c>
      <c r="E45" s="7">
        <v>10</v>
      </c>
      <c r="F45" s="8">
        <v>15.17</v>
      </c>
      <c r="G45" s="19">
        <v>250.02340000000001</v>
      </c>
      <c r="H45" s="19">
        <v>6.3834</v>
      </c>
      <c r="I45" s="9">
        <v>37.400000000000006</v>
      </c>
      <c r="J45" s="9">
        <v>149.60000000000002</v>
      </c>
    </row>
    <row r="46" spans="1:10" x14ac:dyDescent="0.2">
      <c r="B46" s="7" t="s">
        <v>37</v>
      </c>
      <c r="C46" s="7" t="s">
        <v>22</v>
      </c>
      <c r="D46" s="7">
        <v>5</v>
      </c>
      <c r="E46" s="7">
        <v>12</v>
      </c>
      <c r="F46" s="8">
        <v>11.959999999999999</v>
      </c>
      <c r="G46" s="19">
        <v>160.39150000000001</v>
      </c>
      <c r="H46" s="19">
        <v>6.0186000000000002</v>
      </c>
      <c r="I46" s="9">
        <v>39.1</v>
      </c>
      <c r="J46" s="9">
        <v>162.6</v>
      </c>
    </row>
    <row r="47" spans="1:10" x14ac:dyDescent="0.2">
      <c r="B47" s="7" t="s">
        <v>37</v>
      </c>
      <c r="C47" s="7" t="s">
        <v>22</v>
      </c>
      <c r="D47" s="7">
        <v>5</v>
      </c>
      <c r="E47" s="7">
        <v>17</v>
      </c>
      <c r="F47" s="8">
        <v>12.68</v>
      </c>
      <c r="G47" s="19">
        <v>170.30160000000001</v>
      </c>
      <c r="H47" s="19">
        <v>5.9675000000000002</v>
      </c>
      <c r="I47" s="9">
        <v>39.300000000000004</v>
      </c>
      <c r="J47" s="9">
        <v>163.89999999999998</v>
      </c>
    </row>
    <row r="48" spans="1:10" x14ac:dyDescent="0.2">
      <c r="B48" s="7" t="s">
        <v>37</v>
      </c>
      <c r="C48" s="7" t="s">
        <v>22</v>
      </c>
      <c r="D48" s="7">
        <v>5</v>
      </c>
      <c r="E48" s="7">
        <v>24</v>
      </c>
      <c r="F48" s="8">
        <v>13.420000000000002</v>
      </c>
      <c r="G48" s="19">
        <v>199.14510000000001</v>
      </c>
      <c r="H48" s="19">
        <v>5.7534999999999998</v>
      </c>
      <c r="I48" s="9">
        <v>38.1</v>
      </c>
      <c r="J48" s="9">
        <v>171.9</v>
      </c>
    </row>
    <row r="49" spans="1:10" x14ac:dyDescent="0.2">
      <c r="B49" s="7" t="s">
        <v>37</v>
      </c>
      <c r="C49" s="7" t="s">
        <v>22</v>
      </c>
      <c r="D49" s="7">
        <v>5</v>
      </c>
      <c r="E49" s="7">
        <v>35</v>
      </c>
      <c r="F49" s="8">
        <v>10.65</v>
      </c>
      <c r="G49" s="19">
        <v>168.93020000000001</v>
      </c>
      <c r="H49" s="19">
        <v>5.5919999999999996</v>
      </c>
      <c r="I49" s="9">
        <v>36.799999999999997</v>
      </c>
      <c r="J49" s="9">
        <v>177.7</v>
      </c>
    </row>
    <row r="50" spans="1:10" x14ac:dyDescent="0.2">
      <c r="B50" s="7" t="s">
        <v>37</v>
      </c>
      <c r="C50" s="7" t="s">
        <v>22</v>
      </c>
      <c r="D50" s="7">
        <v>5</v>
      </c>
      <c r="E50" s="7">
        <v>44</v>
      </c>
      <c r="F50" s="8">
        <v>16.900000000000002</v>
      </c>
      <c r="G50" s="19">
        <v>195.5035</v>
      </c>
      <c r="H50" s="19">
        <v>6.0865999999999998</v>
      </c>
      <c r="I50" s="9">
        <v>45.3</v>
      </c>
      <c r="J50" s="9">
        <v>160.80000000000001</v>
      </c>
    </row>
    <row r="51" spans="1:10" x14ac:dyDescent="0.2">
      <c r="A51" s="10">
        <f>COUNT(F42:F51)</f>
        <v>10</v>
      </c>
      <c r="B51" s="10" t="s">
        <v>37</v>
      </c>
      <c r="C51" s="10" t="s">
        <v>22</v>
      </c>
      <c r="D51" s="10">
        <v>5</v>
      </c>
      <c r="E51" s="10">
        <v>49</v>
      </c>
      <c r="F51" s="6">
        <v>12.19</v>
      </c>
      <c r="G51" s="6">
        <v>157.73740000000001</v>
      </c>
      <c r="H51" s="6">
        <v>5.5251000000000001</v>
      </c>
      <c r="I51" s="2">
        <v>41.7</v>
      </c>
      <c r="J51" s="2">
        <v>176.9</v>
      </c>
    </row>
    <row r="52" spans="1:10" x14ac:dyDescent="0.2">
      <c r="A52" s="12">
        <f>COUNT(F2:F51)</f>
        <v>50</v>
      </c>
    </row>
  </sheetData>
  <printOptions horizontalCentered="1"/>
  <pageMargins left="0.25" right="0.25" top="0.75" bottom="0.75" header="0.3" footer="0.3"/>
  <pageSetup scale="95" orientation="portrait" r:id="rId1"/>
  <headerFooter>
    <oddHeader>&amp;F</oddHeader>
    <oddFooter>&amp;C&amp;A&amp;R&amp;D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J52"/>
  <sheetViews>
    <sheetView workbookViewId="0">
      <selection activeCell="E16" sqref="E16"/>
    </sheetView>
  </sheetViews>
  <sheetFormatPr defaultRowHeight="12.75" x14ac:dyDescent="0.2"/>
  <cols>
    <col min="1" max="1" width="3.75" style="12" customWidth="1"/>
    <col min="2" max="2" width="11" style="7" customWidth="1"/>
    <col min="3" max="3" width="9.5" style="7" customWidth="1"/>
    <col min="4" max="4" width="5.375" style="7" bestFit="1" customWidth="1"/>
    <col min="5" max="5" width="5.875" style="7" bestFit="1" customWidth="1"/>
    <col min="6" max="6" width="5.875" style="8" customWidth="1"/>
    <col min="7" max="7" width="9.875" style="8" bestFit="1" customWidth="1"/>
    <col min="8" max="8" width="6.25" style="8" bestFit="1" customWidth="1"/>
    <col min="9" max="10" width="5.875" style="9" customWidth="1"/>
    <col min="11" max="16384" width="9" style="7"/>
  </cols>
  <sheetData>
    <row r="1" spans="1:10" s="15" customFormat="1" ht="38.25" x14ac:dyDescent="0.2">
      <c r="A1" s="28" t="s">
        <v>0</v>
      </c>
      <c r="B1" s="28" t="s">
        <v>32</v>
      </c>
      <c r="C1" s="28" t="s">
        <v>3</v>
      </c>
      <c r="D1" s="28" t="s">
        <v>33</v>
      </c>
      <c r="E1" s="28" t="s">
        <v>34</v>
      </c>
      <c r="F1" s="6" t="s">
        <v>44</v>
      </c>
      <c r="G1" s="6" t="s">
        <v>49</v>
      </c>
      <c r="H1" s="6" t="s">
        <v>50</v>
      </c>
      <c r="I1" s="18" t="s">
        <v>51</v>
      </c>
      <c r="J1" s="18" t="s">
        <v>52</v>
      </c>
    </row>
    <row r="2" spans="1:10" ht="12.75" customHeight="1" x14ac:dyDescent="0.2">
      <c r="B2" s="7" t="s">
        <v>36</v>
      </c>
      <c r="C2" s="7" t="s">
        <v>21</v>
      </c>
      <c r="D2" s="7">
        <v>1</v>
      </c>
      <c r="E2" s="7">
        <v>2</v>
      </c>
      <c r="F2" s="8">
        <v>24.98</v>
      </c>
      <c r="G2" s="19">
        <v>282.66539999999998</v>
      </c>
      <c r="H2" s="19">
        <v>7.3479000000000001</v>
      </c>
      <c r="I2" s="9">
        <v>46</v>
      </c>
      <c r="J2" s="9">
        <v>144.80000000000001</v>
      </c>
    </row>
    <row r="3" spans="1:10" ht="12.75" customHeight="1" x14ac:dyDescent="0.2">
      <c r="B3" s="7" t="s">
        <v>36</v>
      </c>
      <c r="C3" s="7" t="s">
        <v>21</v>
      </c>
      <c r="D3" s="7">
        <v>1</v>
      </c>
      <c r="E3" s="7">
        <v>4</v>
      </c>
      <c r="F3" s="8">
        <v>26.26</v>
      </c>
      <c r="G3" s="19">
        <v>292.40440000000001</v>
      </c>
      <c r="H3" s="19">
        <v>7.2762000000000002</v>
      </c>
      <c r="I3" s="9">
        <v>46</v>
      </c>
      <c r="J3" s="9">
        <v>142.9</v>
      </c>
    </row>
    <row r="4" spans="1:10" ht="12.75" customHeight="1" x14ac:dyDescent="0.2">
      <c r="B4" s="7" t="s">
        <v>36</v>
      </c>
      <c r="C4" s="7" t="s">
        <v>21</v>
      </c>
      <c r="D4" s="7">
        <v>1</v>
      </c>
      <c r="E4" s="7">
        <v>8</v>
      </c>
      <c r="F4" s="8">
        <v>22.5</v>
      </c>
      <c r="G4" s="19">
        <v>262.64159999999998</v>
      </c>
      <c r="H4" s="19">
        <v>8.5797000000000008</v>
      </c>
      <c r="I4" s="9">
        <v>45.900000000000006</v>
      </c>
      <c r="J4" s="9">
        <v>132</v>
      </c>
    </row>
    <row r="5" spans="1:10" ht="12.75" customHeight="1" x14ac:dyDescent="0.2">
      <c r="B5" s="7" t="s">
        <v>36</v>
      </c>
      <c r="C5" s="7" t="s">
        <v>21</v>
      </c>
      <c r="D5" s="7">
        <v>1</v>
      </c>
      <c r="E5" s="7">
        <v>13</v>
      </c>
      <c r="F5" s="8">
        <v>22.12</v>
      </c>
      <c r="G5" s="19">
        <v>284.36959999999999</v>
      </c>
      <c r="H5" s="19">
        <v>7.8857999999999997</v>
      </c>
      <c r="I5" s="9">
        <v>44.6</v>
      </c>
      <c r="J5" s="9">
        <v>142.80000000000001</v>
      </c>
    </row>
    <row r="6" spans="1:10" ht="12.75" customHeight="1" x14ac:dyDescent="0.2">
      <c r="B6" s="7" t="s">
        <v>36</v>
      </c>
      <c r="C6" s="7" t="s">
        <v>21</v>
      </c>
      <c r="D6" s="7">
        <v>1</v>
      </c>
      <c r="E6" s="7">
        <v>21</v>
      </c>
      <c r="F6" s="8">
        <v>24.38</v>
      </c>
      <c r="G6" s="19">
        <v>332.61630000000002</v>
      </c>
      <c r="H6" s="19">
        <v>6.3609</v>
      </c>
      <c r="I6" s="9">
        <v>46.9</v>
      </c>
      <c r="J6" s="9">
        <v>155.9</v>
      </c>
    </row>
    <row r="7" spans="1:10" ht="12.75" customHeight="1" x14ac:dyDescent="0.2">
      <c r="B7" s="7" t="s">
        <v>36</v>
      </c>
      <c r="C7" s="7" t="s">
        <v>21</v>
      </c>
      <c r="D7" s="7">
        <v>1</v>
      </c>
      <c r="E7" s="7">
        <v>27</v>
      </c>
      <c r="F7" s="8">
        <v>23.34</v>
      </c>
      <c r="G7" s="19">
        <v>315.48989999999998</v>
      </c>
      <c r="H7" s="19">
        <v>7.7915999999999999</v>
      </c>
      <c r="I7" s="9">
        <v>43.9</v>
      </c>
      <c r="J7" s="9">
        <v>139.5</v>
      </c>
    </row>
    <row r="8" spans="1:10" ht="12.75" customHeight="1" x14ac:dyDescent="0.2">
      <c r="A8" s="7"/>
      <c r="B8" s="7" t="s">
        <v>36</v>
      </c>
      <c r="C8" s="7" t="s">
        <v>21</v>
      </c>
      <c r="D8" s="7">
        <v>1</v>
      </c>
      <c r="E8" s="7">
        <v>30</v>
      </c>
      <c r="F8" s="8">
        <v>26.619999999999997</v>
      </c>
      <c r="G8" s="19">
        <v>298.77550000000002</v>
      </c>
      <c r="H8" s="19">
        <v>7.1976000000000004</v>
      </c>
      <c r="I8" s="9">
        <v>48.800000000000004</v>
      </c>
      <c r="J8" s="9">
        <v>139.1</v>
      </c>
    </row>
    <row r="9" spans="1:10" ht="12.75" customHeight="1" x14ac:dyDescent="0.2">
      <c r="B9" s="7" t="s">
        <v>36</v>
      </c>
      <c r="C9" s="7" t="s">
        <v>21</v>
      </c>
      <c r="D9" s="7">
        <v>1</v>
      </c>
      <c r="E9" s="7">
        <v>31</v>
      </c>
      <c r="F9" s="8">
        <v>23.1</v>
      </c>
      <c r="G9" s="19">
        <v>315.96960000000001</v>
      </c>
      <c r="H9" s="19">
        <v>6.7953000000000001</v>
      </c>
      <c r="I9" s="9">
        <v>45.1</v>
      </c>
      <c r="J9" s="9">
        <v>146.1</v>
      </c>
    </row>
    <row r="10" spans="1:10" ht="12.75" customHeight="1" x14ac:dyDescent="0.2">
      <c r="B10" s="7" t="s">
        <v>36</v>
      </c>
      <c r="C10" s="7" t="s">
        <v>21</v>
      </c>
      <c r="D10" s="7">
        <v>1</v>
      </c>
      <c r="E10" s="7">
        <v>34</v>
      </c>
      <c r="F10" s="8">
        <v>30.42</v>
      </c>
      <c r="G10" s="19">
        <v>347.64679999999998</v>
      </c>
      <c r="H10" s="19">
        <v>7.4935</v>
      </c>
      <c r="I10" s="9">
        <v>51.1</v>
      </c>
      <c r="J10" s="9">
        <v>128.1</v>
      </c>
    </row>
    <row r="11" spans="1:10" ht="12.75" customHeight="1" x14ac:dyDescent="0.2">
      <c r="A11" s="10">
        <f>COUNT(F2:F11)</f>
        <v>10</v>
      </c>
      <c r="B11" s="10" t="s">
        <v>36</v>
      </c>
      <c r="C11" s="10" t="s">
        <v>21</v>
      </c>
      <c r="D11" s="10">
        <v>1</v>
      </c>
      <c r="E11" s="10">
        <v>39</v>
      </c>
      <c r="F11" s="6">
        <v>27.22</v>
      </c>
      <c r="G11" s="6">
        <v>257.0874</v>
      </c>
      <c r="H11" s="6">
        <v>6.3327</v>
      </c>
      <c r="I11" s="18">
        <v>50.5</v>
      </c>
      <c r="J11" s="18">
        <v>151.60000000000002</v>
      </c>
    </row>
    <row r="12" spans="1:10" ht="12.75" customHeight="1" x14ac:dyDescent="0.2">
      <c r="B12" s="7" t="s">
        <v>36</v>
      </c>
      <c r="C12" s="7" t="s">
        <v>1</v>
      </c>
      <c r="D12" s="7">
        <v>2</v>
      </c>
      <c r="E12" s="7">
        <v>5</v>
      </c>
      <c r="F12" s="8">
        <v>27.02</v>
      </c>
      <c r="G12" s="19">
        <v>257.15129999999999</v>
      </c>
      <c r="H12" s="19">
        <v>6.4474</v>
      </c>
      <c r="I12" s="9">
        <v>50.5</v>
      </c>
      <c r="J12" s="9">
        <v>156.5</v>
      </c>
    </row>
    <row r="13" spans="1:10" ht="12.75" customHeight="1" x14ac:dyDescent="0.2">
      <c r="B13" s="7" t="s">
        <v>36</v>
      </c>
      <c r="C13" s="7" t="s">
        <v>1</v>
      </c>
      <c r="D13" s="7">
        <v>2</v>
      </c>
      <c r="E13" s="7">
        <v>15</v>
      </c>
      <c r="F13" s="8">
        <v>27.13</v>
      </c>
      <c r="G13" s="19">
        <v>280.44310000000002</v>
      </c>
      <c r="H13" s="19">
        <v>6.4226999999999999</v>
      </c>
      <c r="I13" s="9">
        <v>51</v>
      </c>
      <c r="J13" s="9">
        <v>155</v>
      </c>
    </row>
    <row r="14" spans="1:10" ht="12.75" customHeight="1" x14ac:dyDescent="0.2">
      <c r="A14" s="7"/>
      <c r="B14" s="7" t="s">
        <v>36</v>
      </c>
      <c r="C14" s="7" t="s">
        <v>1</v>
      </c>
      <c r="D14" s="7">
        <v>2</v>
      </c>
      <c r="E14" s="7">
        <v>20</v>
      </c>
      <c r="F14" s="8">
        <v>26.72</v>
      </c>
      <c r="G14" s="19">
        <v>272.6019</v>
      </c>
      <c r="H14" s="19">
        <v>6.7850999999999999</v>
      </c>
      <c r="I14" s="9">
        <v>48.7</v>
      </c>
      <c r="J14" s="9">
        <v>152.60000000000002</v>
      </c>
    </row>
    <row r="15" spans="1:10" ht="12.75" customHeight="1" x14ac:dyDescent="0.2">
      <c r="B15" s="7" t="s">
        <v>36</v>
      </c>
      <c r="C15" s="7" t="s">
        <v>1</v>
      </c>
      <c r="D15" s="7">
        <v>2</v>
      </c>
      <c r="E15" s="7">
        <v>26</v>
      </c>
      <c r="F15" s="8">
        <v>28.88</v>
      </c>
      <c r="G15" s="19">
        <v>228.0343</v>
      </c>
      <c r="H15" s="19">
        <v>6.6456</v>
      </c>
      <c r="I15" s="9">
        <v>54.4</v>
      </c>
      <c r="J15" s="9">
        <v>150.69999999999999</v>
      </c>
    </row>
    <row r="16" spans="1:10" ht="12.75" customHeight="1" x14ac:dyDescent="0.2">
      <c r="B16" s="7" t="s">
        <v>36</v>
      </c>
      <c r="C16" s="7" t="s">
        <v>1</v>
      </c>
      <c r="D16" s="7">
        <v>2</v>
      </c>
      <c r="E16" s="7">
        <v>29</v>
      </c>
      <c r="F16" s="8">
        <v>26.979999999999997</v>
      </c>
      <c r="G16" s="19">
        <v>268.5992</v>
      </c>
      <c r="H16" s="19">
        <v>6.1908000000000003</v>
      </c>
      <c r="I16" s="9">
        <v>49.2</v>
      </c>
      <c r="J16" s="9">
        <v>160.1</v>
      </c>
    </row>
    <row r="17" spans="1:10" ht="12.75" customHeight="1" x14ac:dyDescent="0.2">
      <c r="B17" s="7" t="s">
        <v>36</v>
      </c>
      <c r="C17" s="7" t="s">
        <v>1</v>
      </c>
      <c r="D17" s="7">
        <v>2</v>
      </c>
      <c r="E17" s="7">
        <v>32</v>
      </c>
      <c r="F17" s="8">
        <v>25.95</v>
      </c>
      <c r="G17" s="19">
        <v>254.5318</v>
      </c>
      <c r="H17" s="19">
        <v>6.7503000000000002</v>
      </c>
      <c r="I17" s="9">
        <v>49.6</v>
      </c>
      <c r="J17" s="9">
        <v>145.30000000000001</v>
      </c>
    </row>
    <row r="18" spans="1:10" ht="12.75" customHeight="1" x14ac:dyDescent="0.2">
      <c r="B18" s="7" t="s">
        <v>36</v>
      </c>
      <c r="C18" s="7" t="s">
        <v>1</v>
      </c>
      <c r="D18" s="7">
        <v>2</v>
      </c>
      <c r="E18" s="7">
        <v>36</v>
      </c>
      <c r="F18" s="8">
        <v>26.979999999999997</v>
      </c>
      <c r="G18" s="19">
        <v>245.5984</v>
      </c>
      <c r="H18" s="19">
        <v>7.3068</v>
      </c>
      <c r="I18" s="9">
        <v>49</v>
      </c>
      <c r="J18" s="9">
        <v>144.6</v>
      </c>
    </row>
    <row r="19" spans="1:10" ht="12.75" customHeight="1" x14ac:dyDescent="0.2">
      <c r="B19" s="7" t="s">
        <v>36</v>
      </c>
      <c r="C19" s="7" t="s">
        <v>1</v>
      </c>
      <c r="D19" s="7">
        <v>2</v>
      </c>
      <c r="E19" s="7">
        <v>42</v>
      </c>
      <c r="F19" s="8">
        <v>26.029999999999998</v>
      </c>
      <c r="G19" s="19">
        <v>249.83189999999999</v>
      </c>
      <c r="H19" s="19">
        <v>6.8135000000000003</v>
      </c>
      <c r="I19" s="9">
        <v>50.3</v>
      </c>
      <c r="J19" s="9">
        <v>149.5</v>
      </c>
    </row>
    <row r="20" spans="1:10" ht="12.75" customHeight="1" x14ac:dyDescent="0.2">
      <c r="B20" s="7" t="s">
        <v>36</v>
      </c>
      <c r="C20" s="7" t="s">
        <v>1</v>
      </c>
      <c r="D20" s="7">
        <v>2</v>
      </c>
      <c r="E20" s="7">
        <v>43</v>
      </c>
      <c r="F20" s="8">
        <v>28.939999999999998</v>
      </c>
      <c r="G20" s="19">
        <v>255.05340000000001</v>
      </c>
      <c r="H20" s="19">
        <v>6.8068</v>
      </c>
      <c r="I20" s="9">
        <v>53.199999999999996</v>
      </c>
      <c r="J20" s="9">
        <v>144.69999999999999</v>
      </c>
    </row>
    <row r="21" spans="1:10" ht="12.75" customHeight="1" x14ac:dyDescent="0.2">
      <c r="A21" s="10">
        <f>COUNT(F12:F21)</f>
        <v>10</v>
      </c>
      <c r="B21" s="10" t="s">
        <v>36</v>
      </c>
      <c r="C21" s="10" t="s">
        <v>1</v>
      </c>
      <c r="D21" s="10">
        <v>2</v>
      </c>
      <c r="E21" s="10">
        <v>46</v>
      </c>
      <c r="F21" s="6">
        <v>28.21</v>
      </c>
      <c r="G21" s="6">
        <v>252.07079999999999</v>
      </c>
      <c r="H21" s="6">
        <v>6.6524999999999999</v>
      </c>
      <c r="I21" s="18">
        <v>50.2</v>
      </c>
      <c r="J21" s="18">
        <v>154.9</v>
      </c>
    </row>
    <row r="22" spans="1:10" ht="12.75" customHeight="1" x14ac:dyDescent="0.2">
      <c r="B22" s="7" t="s">
        <v>36</v>
      </c>
      <c r="C22" s="7" t="s">
        <v>22</v>
      </c>
      <c r="D22" s="7">
        <v>3</v>
      </c>
      <c r="E22" s="7">
        <v>1</v>
      </c>
      <c r="F22" s="8">
        <v>19.040000000000003</v>
      </c>
      <c r="G22" s="19">
        <v>273.28890000000001</v>
      </c>
      <c r="H22" s="19">
        <v>6.7663000000000002</v>
      </c>
      <c r="I22" s="9">
        <v>41.9</v>
      </c>
      <c r="J22" s="9">
        <v>154.9</v>
      </c>
    </row>
    <row r="23" spans="1:10" ht="12.75" customHeight="1" x14ac:dyDescent="0.2">
      <c r="B23" s="7" t="s">
        <v>36</v>
      </c>
      <c r="C23" s="7" t="s">
        <v>22</v>
      </c>
      <c r="D23" s="7">
        <v>3</v>
      </c>
      <c r="E23" s="7">
        <v>16</v>
      </c>
      <c r="F23" s="8">
        <v>19.61</v>
      </c>
      <c r="G23" s="19">
        <v>279.56400000000002</v>
      </c>
      <c r="H23" s="19">
        <v>6.1504000000000003</v>
      </c>
      <c r="I23" s="9">
        <v>43.2</v>
      </c>
      <c r="J23" s="9">
        <v>165.3</v>
      </c>
    </row>
    <row r="24" spans="1:10" ht="12.75" customHeight="1" x14ac:dyDescent="0.2">
      <c r="B24" s="7" t="s">
        <v>36</v>
      </c>
      <c r="C24" s="7" t="s">
        <v>22</v>
      </c>
      <c r="D24" s="7">
        <v>3</v>
      </c>
      <c r="E24" s="7">
        <v>19</v>
      </c>
      <c r="F24" s="8">
        <v>14.299999999999999</v>
      </c>
      <c r="G24" s="19">
        <v>238.3817</v>
      </c>
      <c r="H24" s="19">
        <v>6.1619999999999999</v>
      </c>
      <c r="I24" s="9">
        <v>36.700000000000003</v>
      </c>
      <c r="J24" s="9">
        <v>162.80000000000001</v>
      </c>
    </row>
    <row r="25" spans="1:10" ht="12.75" customHeight="1" x14ac:dyDescent="0.2">
      <c r="B25" s="7" t="s">
        <v>36</v>
      </c>
      <c r="C25" s="7" t="s">
        <v>22</v>
      </c>
      <c r="D25" s="7">
        <v>3</v>
      </c>
      <c r="E25" s="7">
        <v>22</v>
      </c>
      <c r="F25" s="8">
        <v>18</v>
      </c>
      <c r="G25" s="19">
        <v>236.9128</v>
      </c>
      <c r="H25" s="19">
        <v>5.5780000000000003</v>
      </c>
      <c r="I25" s="9">
        <v>40.800000000000004</v>
      </c>
      <c r="J25" s="9">
        <v>186.6</v>
      </c>
    </row>
    <row r="26" spans="1:10" ht="12.75" customHeight="1" x14ac:dyDescent="0.2">
      <c r="B26" s="7" t="s">
        <v>36</v>
      </c>
      <c r="C26" s="7" t="s">
        <v>22</v>
      </c>
      <c r="D26" s="7">
        <v>3</v>
      </c>
      <c r="E26" s="7">
        <v>25</v>
      </c>
      <c r="F26" s="8">
        <v>20.82</v>
      </c>
      <c r="G26" s="19">
        <v>180.29069999999999</v>
      </c>
      <c r="H26" s="19">
        <v>5.6832000000000003</v>
      </c>
      <c r="I26" s="9">
        <v>49.4</v>
      </c>
      <c r="J26" s="9">
        <v>175</v>
      </c>
    </row>
    <row r="27" spans="1:10" ht="12.75" customHeight="1" x14ac:dyDescent="0.2">
      <c r="B27" s="7" t="s">
        <v>36</v>
      </c>
      <c r="C27" s="7" t="s">
        <v>22</v>
      </c>
      <c r="D27" s="7">
        <v>3</v>
      </c>
      <c r="E27" s="7">
        <v>28</v>
      </c>
      <c r="F27" s="8">
        <v>21.37</v>
      </c>
      <c r="G27" s="19">
        <v>272.71069999999997</v>
      </c>
      <c r="H27" s="19">
        <v>6.5891999999999999</v>
      </c>
      <c r="I27" s="9">
        <v>44</v>
      </c>
      <c r="J27" s="9">
        <v>155.70000000000002</v>
      </c>
    </row>
    <row r="28" spans="1:10" ht="12.75" customHeight="1" x14ac:dyDescent="0.2">
      <c r="B28" s="7" t="s">
        <v>36</v>
      </c>
      <c r="C28" s="7" t="s">
        <v>22</v>
      </c>
      <c r="D28" s="7">
        <v>3</v>
      </c>
      <c r="E28" s="7">
        <v>38</v>
      </c>
      <c r="F28" s="8">
        <v>16.989999999999998</v>
      </c>
      <c r="G28" s="19">
        <v>282.91660000000002</v>
      </c>
      <c r="H28" s="19">
        <v>6.5449999999999999</v>
      </c>
      <c r="I28" s="9">
        <v>38.299999999999997</v>
      </c>
      <c r="J28" s="9">
        <v>155.5</v>
      </c>
    </row>
    <row r="29" spans="1:10" ht="12.75" customHeight="1" x14ac:dyDescent="0.2">
      <c r="A29" s="7"/>
      <c r="B29" s="7" t="s">
        <v>36</v>
      </c>
      <c r="C29" s="7" t="s">
        <v>22</v>
      </c>
      <c r="D29" s="7">
        <v>3</v>
      </c>
      <c r="E29" s="7">
        <v>40</v>
      </c>
      <c r="F29" s="8">
        <v>24.02</v>
      </c>
      <c r="G29" s="19">
        <v>248.66810000000001</v>
      </c>
      <c r="H29" s="19">
        <v>6.8536000000000001</v>
      </c>
      <c r="I29" s="9">
        <v>48.099999999999994</v>
      </c>
      <c r="J29" s="9">
        <v>151.19999999999999</v>
      </c>
    </row>
    <row r="30" spans="1:10" ht="12.75" customHeight="1" x14ac:dyDescent="0.2">
      <c r="B30" s="7" t="s">
        <v>36</v>
      </c>
      <c r="C30" s="7" t="s">
        <v>22</v>
      </c>
      <c r="D30" s="7">
        <v>3</v>
      </c>
      <c r="E30" s="7">
        <v>41</v>
      </c>
      <c r="F30" s="8">
        <v>22.42</v>
      </c>
      <c r="G30" s="19">
        <v>262.20670000000001</v>
      </c>
      <c r="H30" s="19">
        <v>6.4564000000000004</v>
      </c>
      <c r="I30" s="9">
        <v>46.199999999999996</v>
      </c>
      <c r="J30" s="9">
        <v>155.5</v>
      </c>
    </row>
    <row r="31" spans="1:10" ht="12.75" customHeight="1" x14ac:dyDescent="0.2">
      <c r="A31" s="10">
        <f>COUNT(F22:F31)</f>
        <v>10</v>
      </c>
      <c r="B31" s="10" t="s">
        <v>36</v>
      </c>
      <c r="C31" s="10" t="s">
        <v>22</v>
      </c>
      <c r="D31" s="10">
        <v>3</v>
      </c>
      <c r="E31" s="10">
        <v>48</v>
      </c>
      <c r="F31" s="6">
        <v>12.1</v>
      </c>
      <c r="G31" s="6">
        <v>171.21510000000001</v>
      </c>
      <c r="H31" s="6">
        <v>5.6127000000000002</v>
      </c>
      <c r="I31" s="18">
        <v>37.699999999999996</v>
      </c>
      <c r="J31" s="18">
        <v>183.10000000000002</v>
      </c>
    </row>
    <row r="32" spans="1:10" ht="12.75" customHeight="1" x14ac:dyDescent="0.2">
      <c r="B32" s="7" t="s">
        <v>37</v>
      </c>
      <c r="C32" s="7" t="s">
        <v>1</v>
      </c>
      <c r="D32" s="7">
        <v>4</v>
      </c>
      <c r="E32" s="7">
        <v>7</v>
      </c>
      <c r="F32" s="8">
        <v>26.66</v>
      </c>
      <c r="G32" s="19">
        <v>210.3801</v>
      </c>
      <c r="H32" s="19">
        <v>6.9874000000000001</v>
      </c>
      <c r="I32" s="9">
        <v>52</v>
      </c>
      <c r="J32" s="9">
        <v>146.19999999999999</v>
      </c>
    </row>
    <row r="33" spans="1:10" ht="12.75" customHeight="1" x14ac:dyDescent="0.2">
      <c r="B33" s="7" t="s">
        <v>37</v>
      </c>
      <c r="C33" s="7" t="s">
        <v>1</v>
      </c>
      <c r="D33" s="7">
        <v>4</v>
      </c>
      <c r="E33" s="7">
        <v>11</v>
      </c>
      <c r="F33" s="8">
        <v>31.77</v>
      </c>
      <c r="G33" s="19">
        <v>246.38939999999999</v>
      </c>
      <c r="H33" s="19">
        <v>7.3434999999999997</v>
      </c>
      <c r="I33" s="9">
        <v>54.800000000000004</v>
      </c>
      <c r="J33" s="9">
        <v>133</v>
      </c>
    </row>
    <row r="34" spans="1:10" ht="12.75" customHeight="1" x14ac:dyDescent="0.2">
      <c r="B34" s="7" t="s">
        <v>37</v>
      </c>
      <c r="C34" s="7" t="s">
        <v>1</v>
      </c>
      <c r="D34" s="7">
        <v>4</v>
      </c>
      <c r="E34" s="7">
        <v>14</v>
      </c>
      <c r="F34" s="8">
        <v>29.92</v>
      </c>
      <c r="G34" s="19">
        <v>286.80430000000001</v>
      </c>
      <c r="H34" s="19">
        <v>6.9890999999999996</v>
      </c>
      <c r="I34" s="9">
        <v>51.8</v>
      </c>
      <c r="J34" s="9">
        <v>138</v>
      </c>
    </row>
    <row r="35" spans="1:10" ht="12.75" customHeight="1" x14ac:dyDescent="0.2">
      <c r="B35" s="7" t="s">
        <v>37</v>
      </c>
      <c r="C35" s="7" t="s">
        <v>1</v>
      </c>
      <c r="D35" s="7">
        <v>4</v>
      </c>
      <c r="E35" s="7">
        <v>18</v>
      </c>
      <c r="F35" s="8">
        <v>34.57</v>
      </c>
      <c r="G35" s="19">
        <v>307.88420000000002</v>
      </c>
      <c r="H35" s="19">
        <v>7.7998000000000003</v>
      </c>
      <c r="I35" s="9">
        <v>53.699999999999996</v>
      </c>
      <c r="J35" s="9">
        <v>132.20000000000002</v>
      </c>
    </row>
    <row r="36" spans="1:10" ht="12.75" customHeight="1" x14ac:dyDescent="0.2">
      <c r="B36" s="7" t="s">
        <v>37</v>
      </c>
      <c r="C36" s="7" t="s">
        <v>1</v>
      </c>
      <c r="D36" s="7">
        <v>4</v>
      </c>
      <c r="E36" s="7">
        <v>23</v>
      </c>
      <c r="F36" s="8">
        <v>29.409999999999997</v>
      </c>
      <c r="G36" s="19">
        <v>223.22319999999999</v>
      </c>
      <c r="H36" s="19">
        <v>6.4904999999999999</v>
      </c>
      <c r="I36" s="9">
        <v>52.5</v>
      </c>
      <c r="J36" s="9">
        <v>151</v>
      </c>
    </row>
    <row r="37" spans="1:10" ht="12.75" customHeight="1" x14ac:dyDescent="0.2">
      <c r="B37" s="7" t="s">
        <v>37</v>
      </c>
      <c r="C37" s="7" t="s">
        <v>1</v>
      </c>
      <c r="D37" s="7">
        <v>4</v>
      </c>
      <c r="E37" s="7">
        <v>33</v>
      </c>
      <c r="F37" s="8">
        <v>30.64</v>
      </c>
      <c r="G37" s="19">
        <v>255.68209999999999</v>
      </c>
      <c r="H37" s="19">
        <v>7.3966000000000003</v>
      </c>
      <c r="I37" s="9">
        <v>53.699999999999996</v>
      </c>
      <c r="J37" s="9">
        <v>138.80000000000001</v>
      </c>
    </row>
    <row r="38" spans="1:10" ht="12.75" customHeight="1" x14ac:dyDescent="0.2">
      <c r="B38" s="7" t="s">
        <v>37</v>
      </c>
      <c r="C38" s="7" t="s">
        <v>1</v>
      </c>
      <c r="D38" s="7">
        <v>4</v>
      </c>
      <c r="E38" s="7">
        <v>37</v>
      </c>
      <c r="F38" s="8">
        <v>27.91</v>
      </c>
      <c r="G38" s="19">
        <v>250.7816</v>
      </c>
      <c r="H38" s="19">
        <v>6.923</v>
      </c>
      <c r="I38" s="9">
        <v>51.6</v>
      </c>
      <c r="J38" s="9">
        <v>150.69999999999999</v>
      </c>
    </row>
    <row r="39" spans="1:10" ht="12.75" customHeight="1" x14ac:dyDescent="0.2">
      <c r="B39" s="7" t="s">
        <v>37</v>
      </c>
      <c r="C39" s="7" t="s">
        <v>1</v>
      </c>
      <c r="D39" s="7">
        <v>4</v>
      </c>
      <c r="E39" s="7">
        <v>45</v>
      </c>
      <c r="F39" s="8">
        <v>31.14</v>
      </c>
      <c r="G39" s="19">
        <v>270.08229999999998</v>
      </c>
      <c r="H39" s="19">
        <v>6.95</v>
      </c>
      <c r="I39" s="9">
        <v>53.5</v>
      </c>
      <c r="J39" s="9">
        <v>139.9</v>
      </c>
    </row>
    <row r="40" spans="1:10" ht="12.75" customHeight="1" x14ac:dyDescent="0.2">
      <c r="B40" s="7" t="s">
        <v>37</v>
      </c>
      <c r="C40" s="7" t="s">
        <v>1</v>
      </c>
      <c r="D40" s="7">
        <v>4</v>
      </c>
      <c r="E40" s="7">
        <v>47</v>
      </c>
      <c r="F40" s="8">
        <v>28.77</v>
      </c>
      <c r="G40" s="19">
        <v>256.59789999999998</v>
      </c>
      <c r="H40" s="19">
        <v>6.5987999999999998</v>
      </c>
      <c r="I40" s="9">
        <v>52.2</v>
      </c>
      <c r="J40" s="9">
        <v>150.29999999999998</v>
      </c>
    </row>
    <row r="41" spans="1:10" ht="12.75" customHeight="1" x14ac:dyDescent="0.2">
      <c r="A41" s="10">
        <f>COUNT(F32:F41)</f>
        <v>10</v>
      </c>
      <c r="B41" s="10" t="s">
        <v>37</v>
      </c>
      <c r="C41" s="10" t="s">
        <v>1</v>
      </c>
      <c r="D41" s="10">
        <v>4</v>
      </c>
      <c r="E41" s="10">
        <v>50</v>
      </c>
      <c r="F41" s="6">
        <v>29.880000000000003</v>
      </c>
      <c r="G41" s="6">
        <v>238.65440000000001</v>
      </c>
      <c r="H41" s="6">
        <v>5.9874999999999998</v>
      </c>
      <c r="I41" s="18">
        <v>56.2</v>
      </c>
      <c r="J41" s="18">
        <v>161.80000000000001</v>
      </c>
    </row>
    <row r="42" spans="1:10" ht="12.75" customHeight="1" x14ac:dyDescent="0.2">
      <c r="B42" s="7" t="s">
        <v>37</v>
      </c>
      <c r="C42" s="7" t="s">
        <v>22</v>
      </c>
      <c r="D42" s="7">
        <v>5</v>
      </c>
      <c r="E42" s="7">
        <v>3</v>
      </c>
      <c r="F42" s="8">
        <v>24.959999999999997</v>
      </c>
      <c r="G42" s="19">
        <v>289.21319999999997</v>
      </c>
      <c r="H42" s="19">
        <v>6.4523000000000001</v>
      </c>
      <c r="I42" s="9">
        <v>46.9</v>
      </c>
      <c r="J42" s="9">
        <v>153.29999999999998</v>
      </c>
    </row>
    <row r="43" spans="1:10" ht="12.75" customHeight="1" x14ac:dyDescent="0.2">
      <c r="B43" s="7" t="s">
        <v>37</v>
      </c>
      <c r="C43" s="7" t="s">
        <v>22</v>
      </c>
      <c r="D43" s="7">
        <v>5</v>
      </c>
      <c r="E43" s="7">
        <v>6</v>
      </c>
      <c r="F43" s="8">
        <v>26.31</v>
      </c>
      <c r="G43" s="19">
        <v>307.33609999999999</v>
      </c>
      <c r="H43" s="19">
        <v>6.6327999999999996</v>
      </c>
      <c r="I43" s="9">
        <v>49.4</v>
      </c>
      <c r="J43" s="9">
        <v>148.4</v>
      </c>
    </row>
    <row r="44" spans="1:10" ht="12.75" customHeight="1" x14ac:dyDescent="0.2">
      <c r="B44" s="7" t="s">
        <v>37</v>
      </c>
      <c r="C44" s="7" t="s">
        <v>22</v>
      </c>
      <c r="D44" s="7">
        <v>5</v>
      </c>
      <c r="E44" s="7">
        <v>9</v>
      </c>
      <c r="F44" s="8">
        <v>27.71</v>
      </c>
      <c r="G44" s="19">
        <v>272.8399</v>
      </c>
      <c r="H44" s="19">
        <v>6.3887999999999998</v>
      </c>
      <c r="I44" s="9">
        <v>51.3</v>
      </c>
      <c r="J44" s="9">
        <v>163</v>
      </c>
    </row>
    <row r="45" spans="1:10" ht="12.75" customHeight="1" x14ac:dyDescent="0.2">
      <c r="A45" s="7"/>
      <c r="B45" s="7" t="s">
        <v>37</v>
      </c>
      <c r="C45" s="7" t="s">
        <v>22</v>
      </c>
      <c r="D45" s="7">
        <v>5</v>
      </c>
      <c r="E45" s="7">
        <v>10</v>
      </c>
      <c r="F45" s="8">
        <v>29.349999999999998</v>
      </c>
      <c r="G45" s="19">
        <v>302.53960000000001</v>
      </c>
      <c r="H45" s="19">
        <v>7.0274999999999999</v>
      </c>
      <c r="I45" s="9">
        <v>51.2</v>
      </c>
      <c r="J45" s="9">
        <v>142.4</v>
      </c>
    </row>
    <row r="46" spans="1:10" ht="12.75" customHeight="1" x14ac:dyDescent="0.2">
      <c r="B46" s="7" t="s">
        <v>37</v>
      </c>
      <c r="C46" s="7" t="s">
        <v>22</v>
      </c>
      <c r="D46" s="7">
        <v>5</v>
      </c>
      <c r="E46" s="7">
        <v>12</v>
      </c>
      <c r="F46" s="8">
        <v>25.11</v>
      </c>
      <c r="G46" s="19">
        <v>293.54730000000001</v>
      </c>
      <c r="H46" s="19">
        <v>7.0688000000000004</v>
      </c>
      <c r="I46" s="9">
        <v>47.7</v>
      </c>
      <c r="J46" s="9">
        <v>142.5</v>
      </c>
    </row>
    <row r="47" spans="1:10" ht="12.75" customHeight="1" x14ac:dyDescent="0.2">
      <c r="B47" s="7" t="s">
        <v>37</v>
      </c>
      <c r="C47" s="7" t="s">
        <v>22</v>
      </c>
      <c r="D47" s="7">
        <v>5</v>
      </c>
      <c r="E47" s="7">
        <v>17</v>
      </c>
      <c r="F47" s="8">
        <v>22.3</v>
      </c>
      <c r="G47" s="19">
        <v>295.60840000000002</v>
      </c>
      <c r="H47" s="19">
        <v>6.2516999999999996</v>
      </c>
      <c r="I47" s="9">
        <v>44.2</v>
      </c>
      <c r="J47" s="9">
        <v>158</v>
      </c>
    </row>
    <row r="48" spans="1:10" ht="12.75" customHeight="1" x14ac:dyDescent="0.2">
      <c r="B48" s="7" t="s">
        <v>37</v>
      </c>
      <c r="C48" s="7" t="s">
        <v>22</v>
      </c>
      <c r="D48" s="7">
        <v>5</v>
      </c>
      <c r="E48" s="7">
        <v>24</v>
      </c>
      <c r="F48" s="8">
        <v>24.34</v>
      </c>
      <c r="G48" s="19">
        <v>334.15449999999998</v>
      </c>
      <c r="H48" s="19">
        <v>7.1351000000000004</v>
      </c>
      <c r="I48" s="9">
        <v>44.2</v>
      </c>
      <c r="J48" s="9">
        <v>140</v>
      </c>
    </row>
    <row r="49" spans="1:10" ht="12.75" customHeight="1" x14ac:dyDescent="0.2">
      <c r="B49" s="7" t="s">
        <v>37</v>
      </c>
      <c r="C49" s="7" t="s">
        <v>22</v>
      </c>
      <c r="D49" s="7">
        <v>5</v>
      </c>
      <c r="E49" s="7">
        <v>35</v>
      </c>
      <c r="F49" s="8">
        <v>22.470000000000002</v>
      </c>
      <c r="G49" s="19">
        <v>271.9923</v>
      </c>
      <c r="H49" s="19">
        <v>6.3335999999999997</v>
      </c>
      <c r="I49" s="9">
        <v>43.8</v>
      </c>
      <c r="J49" s="9">
        <v>155.29999999999998</v>
      </c>
    </row>
    <row r="50" spans="1:10" ht="12.75" customHeight="1" x14ac:dyDescent="0.2">
      <c r="B50" s="7" t="s">
        <v>37</v>
      </c>
      <c r="C50" s="7" t="s">
        <v>22</v>
      </c>
      <c r="D50" s="7">
        <v>5</v>
      </c>
      <c r="E50" s="7">
        <v>44</v>
      </c>
      <c r="F50" s="8">
        <v>28.139999999999997</v>
      </c>
      <c r="G50" s="19">
        <v>252.23220000000001</v>
      </c>
      <c r="H50" s="19">
        <v>6.2881</v>
      </c>
      <c r="I50" s="9">
        <v>53.400000000000006</v>
      </c>
      <c r="J50" s="9">
        <v>149.69999999999999</v>
      </c>
    </row>
    <row r="51" spans="1:10" ht="12.75" customHeight="1" x14ac:dyDescent="0.2">
      <c r="A51" s="10">
        <f>COUNT(F42:F51)</f>
        <v>10</v>
      </c>
      <c r="B51" s="10" t="s">
        <v>37</v>
      </c>
      <c r="C51" s="10" t="s">
        <v>22</v>
      </c>
      <c r="D51" s="10">
        <v>5</v>
      </c>
      <c r="E51" s="10">
        <v>49</v>
      </c>
      <c r="F51" s="6">
        <v>24.19</v>
      </c>
      <c r="G51" s="6">
        <v>257.60309999999998</v>
      </c>
      <c r="H51" s="6">
        <v>5.8846999999999996</v>
      </c>
      <c r="I51" s="18">
        <v>47.5</v>
      </c>
      <c r="J51" s="18">
        <v>174.1</v>
      </c>
    </row>
    <row r="52" spans="1:10" x14ac:dyDescent="0.2">
      <c r="A52" s="12">
        <f>COUNT(F2:F51)</f>
        <v>50</v>
      </c>
    </row>
  </sheetData>
  <printOptions horizontalCentered="1"/>
  <pageMargins left="0.25" right="0.25" top="0.75" bottom="0.75" header="0.3" footer="0.3"/>
  <pageSetup scale="97" orientation="portrait" r:id="rId1"/>
  <headerFooter>
    <oddHeader>&amp;F</oddHeader>
    <oddFooter>&amp;C&amp;A&amp;R&amp;D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4C2EA-E74E-49B0-BD52-66344F461FE4}">
  <sheetPr>
    <pageSetUpPr fitToPage="1"/>
  </sheetPr>
  <dimension ref="A1:G52"/>
  <sheetViews>
    <sheetView workbookViewId="0">
      <selection activeCell="F21" sqref="F21"/>
    </sheetView>
  </sheetViews>
  <sheetFormatPr defaultRowHeight="12.75" x14ac:dyDescent="0.2"/>
  <cols>
    <col min="1" max="1" width="3.75" style="7" customWidth="1"/>
    <col min="2" max="2" width="9.875" style="7" bestFit="1" customWidth="1"/>
    <col min="3" max="3" width="8.125" style="7" bestFit="1" customWidth="1"/>
    <col min="4" max="4" width="5.25" style="7" bestFit="1" customWidth="1"/>
    <col min="5" max="5" width="5.75" style="7" bestFit="1" customWidth="1"/>
    <col min="6" max="6" width="7.375" style="8" bestFit="1" customWidth="1"/>
    <col min="7" max="7" width="9" style="5"/>
    <col min="8" max="16384" width="9" style="7"/>
  </cols>
  <sheetData>
    <row r="1" spans="1:7" s="15" customFormat="1" ht="51" customHeight="1" x14ac:dyDescent="0.2">
      <c r="A1" s="115" t="s">
        <v>0</v>
      </c>
      <c r="B1" s="115" t="s">
        <v>32</v>
      </c>
      <c r="C1" s="115" t="s">
        <v>3</v>
      </c>
      <c r="D1" s="115" t="s">
        <v>33</v>
      </c>
      <c r="E1" s="115" t="s">
        <v>34</v>
      </c>
      <c r="F1" s="6" t="s">
        <v>70</v>
      </c>
      <c r="G1" s="116" t="s">
        <v>71</v>
      </c>
    </row>
    <row r="2" spans="1:7" ht="12.75" customHeight="1" x14ac:dyDescent="0.2">
      <c r="B2" s="7" t="s">
        <v>36</v>
      </c>
      <c r="C2" s="7" t="s">
        <v>21</v>
      </c>
      <c r="D2" s="7">
        <v>1</v>
      </c>
      <c r="E2" s="7">
        <v>2</v>
      </c>
      <c r="F2" s="19">
        <v>6.9074999999999998</v>
      </c>
      <c r="G2" s="5">
        <v>10.7</v>
      </c>
    </row>
    <row r="3" spans="1:7" ht="12.75" customHeight="1" x14ac:dyDescent="0.2">
      <c r="B3" s="7" t="s">
        <v>36</v>
      </c>
      <c r="C3" s="7" t="s">
        <v>21</v>
      </c>
      <c r="D3" s="7">
        <v>1</v>
      </c>
      <c r="E3" s="7">
        <v>4</v>
      </c>
      <c r="F3" s="19">
        <v>7.1859000000000002</v>
      </c>
      <c r="G3" s="5">
        <v>11.1</v>
      </c>
    </row>
    <row r="4" spans="1:7" ht="12.75" customHeight="1" x14ac:dyDescent="0.2">
      <c r="B4" s="7" t="s">
        <v>36</v>
      </c>
      <c r="C4" s="7" t="s">
        <v>21</v>
      </c>
      <c r="D4" s="7">
        <v>1</v>
      </c>
      <c r="E4" s="7">
        <v>8</v>
      </c>
      <c r="F4" s="19">
        <v>7.484</v>
      </c>
      <c r="G4" s="5">
        <v>11.2</v>
      </c>
    </row>
    <row r="5" spans="1:7" ht="12.75" customHeight="1" x14ac:dyDescent="0.2">
      <c r="B5" s="7" t="s">
        <v>36</v>
      </c>
      <c r="C5" s="7" t="s">
        <v>21</v>
      </c>
      <c r="D5" s="7">
        <v>1</v>
      </c>
      <c r="E5" s="7">
        <v>13</v>
      </c>
      <c r="F5" s="19">
        <v>7.1611000000000002</v>
      </c>
      <c r="G5" s="5">
        <v>11.2</v>
      </c>
    </row>
    <row r="6" spans="1:7" ht="12.75" customHeight="1" x14ac:dyDescent="0.2">
      <c r="B6" s="7" t="s">
        <v>36</v>
      </c>
      <c r="C6" s="7" t="s">
        <v>21</v>
      </c>
      <c r="D6" s="7">
        <v>1</v>
      </c>
      <c r="E6" s="7">
        <v>21</v>
      </c>
      <c r="F6" s="19">
        <v>7.133</v>
      </c>
      <c r="G6" s="5">
        <v>10.9</v>
      </c>
    </row>
    <row r="7" spans="1:7" ht="12.75" customHeight="1" x14ac:dyDescent="0.2">
      <c r="B7" s="7" t="s">
        <v>36</v>
      </c>
      <c r="C7" s="7" t="s">
        <v>21</v>
      </c>
      <c r="D7" s="7">
        <v>1</v>
      </c>
      <c r="E7" s="7">
        <v>27</v>
      </c>
      <c r="F7" s="19">
        <v>7.5496999999999996</v>
      </c>
      <c r="G7" s="5">
        <v>11.1</v>
      </c>
    </row>
    <row r="8" spans="1:7" ht="12.75" customHeight="1" x14ac:dyDescent="0.2">
      <c r="B8" s="7" t="s">
        <v>36</v>
      </c>
      <c r="C8" s="7" t="s">
        <v>21</v>
      </c>
      <c r="D8" s="7">
        <v>1</v>
      </c>
      <c r="E8" s="7">
        <v>30</v>
      </c>
      <c r="F8" s="8">
        <v>6.7633000000000001</v>
      </c>
      <c r="G8" s="5">
        <v>10.8</v>
      </c>
    </row>
    <row r="9" spans="1:7" ht="12.75" customHeight="1" x14ac:dyDescent="0.2">
      <c r="B9" s="7" t="s">
        <v>36</v>
      </c>
      <c r="C9" s="7" t="s">
        <v>21</v>
      </c>
      <c r="D9" s="7">
        <v>1</v>
      </c>
      <c r="E9" s="7">
        <v>31</v>
      </c>
      <c r="F9" s="19">
        <v>6.6204000000000001</v>
      </c>
      <c r="G9" s="5">
        <v>10.9</v>
      </c>
    </row>
    <row r="10" spans="1:7" ht="12.75" customHeight="1" x14ac:dyDescent="0.2">
      <c r="B10" s="7" t="s">
        <v>36</v>
      </c>
      <c r="C10" s="7" t="s">
        <v>21</v>
      </c>
      <c r="D10" s="7">
        <v>1</v>
      </c>
      <c r="E10" s="7">
        <v>34</v>
      </c>
      <c r="F10" s="19">
        <v>6.6294000000000004</v>
      </c>
      <c r="G10" s="5">
        <v>10.7</v>
      </c>
    </row>
    <row r="11" spans="1:7" ht="12.75" customHeight="1" x14ac:dyDescent="0.2">
      <c r="A11" s="10">
        <f>COUNT(F2:F11)</f>
        <v>10</v>
      </c>
      <c r="B11" s="10" t="s">
        <v>36</v>
      </c>
      <c r="C11" s="10" t="s">
        <v>21</v>
      </c>
      <c r="D11" s="10">
        <v>1</v>
      </c>
      <c r="E11" s="10">
        <v>39</v>
      </c>
      <c r="F11" s="11">
        <v>8.1103000000000005</v>
      </c>
      <c r="G11" s="25">
        <v>11.4</v>
      </c>
    </row>
    <row r="12" spans="1:7" ht="12.75" customHeight="1" x14ac:dyDescent="0.2">
      <c r="B12" s="7" t="s">
        <v>36</v>
      </c>
      <c r="C12" s="7" t="s">
        <v>1</v>
      </c>
      <c r="D12" s="7">
        <v>2</v>
      </c>
      <c r="E12" s="7">
        <v>5</v>
      </c>
      <c r="F12" s="19">
        <v>7.1391</v>
      </c>
      <c r="G12" s="5">
        <v>11</v>
      </c>
    </row>
    <row r="13" spans="1:7" ht="12.75" customHeight="1" x14ac:dyDescent="0.2">
      <c r="B13" s="7" t="s">
        <v>36</v>
      </c>
      <c r="C13" s="7" t="s">
        <v>1</v>
      </c>
      <c r="D13" s="7">
        <v>2</v>
      </c>
      <c r="E13" s="7">
        <v>15</v>
      </c>
      <c r="F13" s="19">
        <v>6.7348999999999997</v>
      </c>
      <c r="G13" s="5">
        <v>11</v>
      </c>
    </row>
    <row r="14" spans="1:7" ht="12.75" customHeight="1" x14ac:dyDescent="0.2">
      <c r="B14" s="7" t="s">
        <v>36</v>
      </c>
      <c r="C14" s="7" t="s">
        <v>1</v>
      </c>
      <c r="D14" s="7">
        <v>2</v>
      </c>
      <c r="E14" s="7">
        <v>20</v>
      </c>
      <c r="F14" s="8">
        <v>7.0176999999999996</v>
      </c>
      <c r="G14" s="5">
        <v>11</v>
      </c>
    </row>
    <row r="15" spans="1:7" ht="12.75" customHeight="1" x14ac:dyDescent="0.2">
      <c r="B15" s="7" t="s">
        <v>36</v>
      </c>
      <c r="C15" s="7" t="s">
        <v>1</v>
      </c>
      <c r="D15" s="7">
        <v>2</v>
      </c>
      <c r="E15" s="7">
        <v>26</v>
      </c>
      <c r="F15" s="19">
        <v>7.3097000000000003</v>
      </c>
      <c r="G15" s="5">
        <v>11.2</v>
      </c>
    </row>
    <row r="16" spans="1:7" ht="12.75" customHeight="1" x14ac:dyDescent="0.2">
      <c r="B16" s="7" t="s">
        <v>36</v>
      </c>
      <c r="C16" s="7" t="s">
        <v>1</v>
      </c>
      <c r="D16" s="7">
        <v>2</v>
      </c>
      <c r="E16" s="7">
        <v>29</v>
      </c>
      <c r="F16" s="19">
        <v>6.5126999999999997</v>
      </c>
      <c r="G16" s="5">
        <v>11</v>
      </c>
    </row>
    <row r="17" spans="1:7" ht="12.75" customHeight="1" x14ac:dyDescent="0.2">
      <c r="B17" s="7" t="s">
        <v>36</v>
      </c>
      <c r="C17" s="7" t="s">
        <v>1</v>
      </c>
      <c r="D17" s="7">
        <v>2</v>
      </c>
      <c r="E17" s="7">
        <v>32</v>
      </c>
      <c r="F17" s="19">
        <v>6.7401</v>
      </c>
      <c r="G17" s="5">
        <v>11</v>
      </c>
    </row>
    <row r="18" spans="1:7" ht="12.75" customHeight="1" x14ac:dyDescent="0.2">
      <c r="B18" s="7" t="s">
        <v>36</v>
      </c>
      <c r="C18" s="7" t="s">
        <v>1</v>
      </c>
      <c r="D18" s="7">
        <v>2</v>
      </c>
      <c r="E18" s="7">
        <v>36</v>
      </c>
      <c r="F18" s="19">
        <v>7.0964999999999998</v>
      </c>
      <c r="G18" s="5">
        <v>11</v>
      </c>
    </row>
    <row r="19" spans="1:7" ht="12.75" customHeight="1" x14ac:dyDescent="0.2">
      <c r="B19" s="7" t="s">
        <v>36</v>
      </c>
      <c r="C19" s="7" t="s">
        <v>1</v>
      </c>
      <c r="D19" s="7">
        <v>2</v>
      </c>
      <c r="E19" s="7">
        <v>42</v>
      </c>
      <c r="F19" s="19">
        <v>7.6634000000000002</v>
      </c>
      <c r="G19" s="5">
        <v>11.2</v>
      </c>
    </row>
    <row r="20" spans="1:7" ht="12.75" customHeight="1" x14ac:dyDescent="0.2">
      <c r="B20" s="7" t="s">
        <v>36</v>
      </c>
      <c r="C20" s="7" t="s">
        <v>1</v>
      </c>
      <c r="D20" s="7">
        <v>2</v>
      </c>
      <c r="E20" s="7">
        <v>43</v>
      </c>
      <c r="F20" s="19">
        <v>7.5974000000000004</v>
      </c>
      <c r="G20" s="5">
        <v>11.2</v>
      </c>
    </row>
    <row r="21" spans="1:7" ht="12.75" customHeight="1" x14ac:dyDescent="0.2">
      <c r="A21" s="10">
        <f>COUNT(F12:F21)</f>
        <v>10</v>
      </c>
      <c r="B21" s="10" t="s">
        <v>36</v>
      </c>
      <c r="C21" s="10" t="s">
        <v>1</v>
      </c>
      <c r="D21" s="10">
        <v>2</v>
      </c>
      <c r="E21" s="10">
        <v>46</v>
      </c>
      <c r="F21" s="11">
        <v>6.6425000000000001</v>
      </c>
      <c r="G21" s="25">
        <v>10.9</v>
      </c>
    </row>
    <row r="22" spans="1:7" ht="12.75" customHeight="1" x14ac:dyDescent="0.2">
      <c r="B22" s="7" t="s">
        <v>36</v>
      </c>
      <c r="C22" s="7" t="s">
        <v>22</v>
      </c>
      <c r="D22" s="7">
        <v>3</v>
      </c>
      <c r="E22" s="7">
        <v>1</v>
      </c>
      <c r="F22" s="19">
        <v>6.1852999999999998</v>
      </c>
      <c r="G22" s="5">
        <v>11</v>
      </c>
    </row>
    <row r="23" spans="1:7" ht="12.75" customHeight="1" x14ac:dyDescent="0.2">
      <c r="B23" s="7" t="s">
        <v>36</v>
      </c>
      <c r="C23" s="7" t="s">
        <v>22</v>
      </c>
      <c r="D23" s="7">
        <v>3</v>
      </c>
      <c r="E23" s="7">
        <v>16</v>
      </c>
      <c r="F23" s="19">
        <v>6.2499000000000002</v>
      </c>
      <c r="G23" s="5">
        <v>10.7</v>
      </c>
    </row>
    <row r="24" spans="1:7" ht="12.75" customHeight="1" x14ac:dyDescent="0.2">
      <c r="B24" s="7" t="s">
        <v>36</v>
      </c>
      <c r="C24" s="7" t="s">
        <v>22</v>
      </c>
      <c r="D24" s="7">
        <v>3</v>
      </c>
      <c r="E24" s="7">
        <v>19</v>
      </c>
      <c r="F24" s="19">
        <v>5.9736000000000002</v>
      </c>
      <c r="G24" s="5">
        <v>10.9</v>
      </c>
    </row>
    <row r="25" spans="1:7" ht="12.75" customHeight="1" x14ac:dyDescent="0.2">
      <c r="B25" s="7" t="s">
        <v>36</v>
      </c>
      <c r="C25" s="7" t="s">
        <v>22</v>
      </c>
      <c r="D25" s="7">
        <v>3</v>
      </c>
      <c r="E25" s="7">
        <v>22</v>
      </c>
      <c r="F25" s="19">
        <v>6.5141999999999998</v>
      </c>
      <c r="G25" s="5">
        <v>11</v>
      </c>
    </row>
    <row r="26" spans="1:7" ht="12.75" customHeight="1" x14ac:dyDescent="0.2">
      <c r="B26" s="7" t="s">
        <v>36</v>
      </c>
      <c r="C26" s="7" t="s">
        <v>22</v>
      </c>
      <c r="D26" s="7">
        <v>3</v>
      </c>
      <c r="E26" s="7">
        <v>25</v>
      </c>
      <c r="F26" s="19">
        <v>6.8475999999999999</v>
      </c>
      <c r="G26" s="5">
        <v>11.2</v>
      </c>
    </row>
    <row r="27" spans="1:7" ht="12.75" customHeight="1" x14ac:dyDescent="0.2">
      <c r="B27" s="7" t="s">
        <v>36</v>
      </c>
      <c r="C27" s="7" t="s">
        <v>22</v>
      </c>
      <c r="D27" s="7">
        <v>3</v>
      </c>
      <c r="E27" s="7">
        <v>28</v>
      </c>
      <c r="F27" s="19">
        <v>6.7214999999999998</v>
      </c>
      <c r="G27" s="5">
        <v>11.2</v>
      </c>
    </row>
    <row r="28" spans="1:7" ht="12.75" customHeight="1" x14ac:dyDescent="0.2">
      <c r="B28" s="7" t="s">
        <v>36</v>
      </c>
      <c r="C28" s="7" t="s">
        <v>22</v>
      </c>
      <c r="D28" s="7">
        <v>3</v>
      </c>
      <c r="E28" s="7">
        <v>38</v>
      </c>
      <c r="F28" s="19">
        <v>6.2496</v>
      </c>
      <c r="G28" s="5">
        <v>11.2</v>
      </c>
    </row>
    <row r="29" spans="1:7" ht="12.75" customHeight="1" x14ac:dyDescent="0.2">
      <c r="B29" s="7" t="s">
        <v>36</v>
      </c>
      <c r="C29" s="7" t="s">
        <v>22</v>
      </c>
      <c r="D29" s="7">
        <v>3</v>
      </c>
      <c r="E29" s="7">
        <v>40</v>
      </c>
      <c r="F29" s="8">
        <v>7.0753000000000004</v>
      </c>
      <c r="G29" s="5">
        <v>11.4</v>
      </c>
    </row>
    <row r="30" spans="1:7" ht="12.75" customHeight="1" x14ac:dyDescent="0.2">
      <c r="B30" s="7" t="s">
        <v>36</v>
      </c>
      <c r="C30" s="7" t="s">
        <v>22</v>
      </c>
      <c r="D30" s="7">
        <v>3</v>
      </c>
      <c r="E30" s="7">
        <v>41</v>
      </c>
      <c r="F30" s="19">
        <v>6.5517000000000003</v>
      </c>
      <c r="G30" s="5">
        <v>11</v>
      </c>
    </row>
    <row r="31" spans="1:7" ht="12.75" customHeight="1" x14ac:dyDescent="0.2">
      <c r="A31" s="10">
        <f>COUNT(F22:F31)</f>
        <v>10</v>
      </c>
      <c r="B31" s="10" t="s">
        <v>36</v>
      </c>
      <c r="C31" s="10" t="s">
        <v>22</v>
      </c>
      <c r="D31" s="10">
        <v>3</v>
      </c>
      <c r="E31" s="10">
        <v>48</v>
      </c>
      <c r="F31" s="11">
        <v>5.8658000000000001</v>
      </c>
      <c r="G31" s="25">
        <v>11</v>
      </c>
    </row>
    <row r="32" spans="1:7" ht="12.75" customHeight="1" x14ac:dyDescent="0.2">
      <c r="B32" s="7" t="s">
        <v>37</v>
      </c>
      <c r="C32" s="7" t="s">
        <v>1</v>
      </c>
      <c r="D32" s="7">
        <v>4</v>
      </c>
      <c r="E32" s="7">
        <v>7</v>
      </c>
      <c r="F32" s="19">
        <v>7.0951000000000004</v>
      </c>
      <c r="G32" s="5">
        <v>10.7</v>
      </c>
    </row>
    <row r="33" spans="1:7" ht="12.75" customHeight="1" x14ac:dyDescent="0.2">
      <c r="B33" s="7" t="s">
        <v>37</v>
      </c>
      <c r="C33" s="7" t="s">
        <v>1</v>
      </c>
      <c r="D33" s="7">
        <v>4</v>
      </c>
      <c r="E33" s="7">
        <v>11</v>
      </c>
      <c r="F33" s="19">
        <v>7.0143000000000004</v>
      </c>
      <c r="G33" s="5">
        <v>11</v>
      </c>
    </row>
    <row r="34" spans="1:7" ht="12.75" customHeight="1" x14ac:dyDescent="0.2">
      <c r="B34" s="7" t="s">
        <v>37</v>
      </c>
      <c r="C34" s="7" t="s">
        <v>1</v>
      </c>
      <c r="D34" s="7">
        <v>4</v>
      </c>
      <c r="E34" s="7">
        <v>14</v>
      </c>
      <c r="F34" s="19">
        <v>6.4649000000000001</v>
      </c>
      <c r="G34" s="5">
        <v>10.4</v>
      </c>
    </row>
    <row r="35" spans="1:7" ht="12.75" customHeight="1" x14ac:dyDescent="0.2">
      <c r="B35" s="7" t="s">
        <v>37</v>
      </c>
      <c r="C35" s="7" t="s">
        <v>1</v>
      </c>
      <c r="D35" s="7">
        <v>4</v>
      </c>
      <c r="E35" s="7">
        <v>18</v>
      </c>
      <c r="F35" s="19">
        <v>6.2609000000000004</v>
      </c>
      <c r="G35" s="5">
        <v>10.6</v>
      </c>
    </row>
    <row r="36" spans="1:7" ht="12.75" customHeight="1" x14ac:dyDescent="0.2">
      <c r="B36" s="7" t="s">
        <v>37</v>
      </c>
      <c r="C36" s="7" t="s">
        <v>1</v>
      </c>
      <c r="D36" s="7">
        <v>4</v>
      </c>
      <c r="E36" s="7">
        <v>23</v>
      </c>
      <c r="F36" s="19">
        <v>7.1626000000000003</v>
      </c>
      <c r="G36" s="5">
        <v>10.9</v>
      </c>
    </row>
    <row r="37" spans="1:7" ht="12.75" customHeight="1" x14ac:dyDescent="0.2">
      <c r="B37" s="7" t="s">
        <v>37</v>
      </c>
      <c r="C37" s="7" t="s">
        <v>1</v>
      </c>
      <c r="D37" s="7">
        <v>4</v>
      </c>
      <c r="E37" s="7">
        <v>33</v>
      </c>
      <c r="F37" s="19">
        <v>7.2889999999999997</v>
      </c>
      <c r="G37" s="5">
        <v>11</v>
      </c>
    </row>
    <row r="38" spans="1:7" ht="12.75" customHeight="1" x14ac:dyDescent="0.2">
      <c r="B38" s="7" t="s">
        <v>37</v>
      </c>
      <c r="C38" s="7" t="s">
        <v>1</v>
      </c>
      <c r="D38" s="7">
        <v>4</v>
      </c>
      <c r="E38" s="7">
        <v>37</v>
      </c>
      <c r="F38" s="19">
        <v>6.8385999999999996</v>
      </c>
      <c r="G38" s="5">
        <v>10.8</v>
      </c>
    </row>
    <row r="39" spans="1:7" ht="12.75" customHeight="1" x14ac:dyDescent="0.2">
      <c r="B39" s="7" t="s">
        <v>37</v>
      </c>
      <c r="C39" s="7" t="s">
        <v>1</v>
      </c>
      <c r="D39" s="7">
        <v>4</v>
      </c>
      <c r="E39" s="7">
        <v>45</v>
      </c>
      <c r="F39" s="19">
        <v>6.5145</v>
      </c>
      <c r="G39" s="5">
        <v>10.6</v>
      </c>
    </row>
    <row r="40" spans="1:7" ht="12.75" customHeight="1" x14ac:dyDescent="0.2">
      <c r="B40" s="7" t="s">
        <v>37</v>
      </c>
      <c r="C40" s="7" t="s">
        <v>1</v>
      </c>
      <c r="D40" s="7">
        <v>4</v>
      </c>
      <c r="E40" s="7">
        <v>47</v>
      </c>
      <c r="F40" s="19">
        <v>7.6327999999999996</v>
      </c>
      <c r="G40" s="5">
        <v>11</v>
      </c>
    </row>
    <row r="41" spans="1:7" ht="12.75" customHeight="1" x14ac:dyDescent="0.2">
      <c r="A41" s="10">
        <f>COUNT(F32:F41)</f>
        <v>10</v>
      </c>
      <c r="B41" s="10" t="s">
        <v>37</v>
      </c>
      <c r="C41" s="10" t="s">
        <v>1</v>
      </c>
      <c r="D41" s="10">
        <v>4</v>
      </c>
      <c r="E41" s="10">
        <v>50</v>
      </c>
      <c r="F41" s="11">
        <v>7.6944999999999997</v>
      </c>
      <c r="G41" s="25">
        <v>11.2</v>
      </c>
    </row>
    <row r="42" spans="1:7" ht="12.75" customHeight="1" x14ac:dyDescent="0.2">
      <c r="B42" s="7" t="s">
        <v>37</v>
      </c>
      <c r="C42" s="7" t="s">
        <v>22</v>
      </c>
      <c r="D42" s="7">
        <v>5</v>
      </c>
      <c r="E42" s="7">
        <v>3</v>
      </c>
      <c r="F42" s="113">
        <v>7.3036000000000003</v>
      </c>
      <c r="G42" s="5">
        <v>11</v>
      </c>
    </row>
    <row r="43" spans="1:7" ht="12.75" customHeight="1" x14ac:dyDescent="0.2">
      <c r="B43" s="7" t="s">
        <v>37</v>
      </c>
      <c r="C43" s="7" t="s">
        <v>22</v>
      </c>
      <c r="D43" s="7">
        <v>5</v>
      </c>
      <c r="E43" s="7">
        <v>6</v>
      </c>
      <c r="F43" s="19">
        <v>6.83</v>
      </c>
      <c r="G43" s="5">
        <v>10.7</v>
      </c>
    </row>
    <row r="44" spans="1:7" ht="12.75" customHeight="1" x14ac:dyDescent="0.2">
      <c r="B44" s="7" t="s">
        <v>37</v>
      </c>
      <c r="C44" s="7" t="s">
        <v>22</v>
      </c>
      <c r="D44" s="7">
        <v>5</v>
      </c>
      <c r="E44" s="7">
        <v>9</v>
      </c>
      <c r="F44" s="19">
        <v>6.5980999999999996</v>
      </c>
      <c r="G44" s="5">
        <v>10.9</v>
      </c>
    </row>
    <row r="45" spans="1:7" ht="12.75" customHeight="1" x14ac:dyDescent="0.2">
      <c r="B45" s="7" t="s">
        <v>37</v>
      </c>
      <c r="C45" s="7" t="s">
        <v>22</v>
      </c>
      <c r="D45" s="7">
        <v>5</v>
      </c>
      <c r="E45" s="7">
        <v>10</v>
      </c>
      <c r="F45" s="8">
        <v>6.4066999999999998</v>
      </c>
      <c r="G45" s="5">
        <v>10.7</v>
      </c>
    </row>
    <row r="46" spans="1:7" ht="12.75" customHeight="1" x14ac:dyDescent="0.2">
      <c r="B46" s="7" t="s">
        <v>37</v>
      </c>
      <c r="C46" s="7" t="s">
        <v>22</v>
      </c>
      <c r="D46" s="7">
        <v>5</v>
      </c>
      <c r="E46" s="7">
        <v>12</v>
      </c>
      <c r="F46" s="19">
        <v>7.2234999999999996</v>
      </c>
      <c r="G46" s="5">
        <v>11</v>
      </c>
    </row>
    <row r="47" spans="1:7" ht="12.75" customHeight="1" x14ac:dyDescent="0.2">
      <c r="B47" s="7" t="s">
        <v>37</v>
      </c>
      <c r="C47" s="7" t="s">
        <v>22</v>
      </c>
      <c r="D47" s="7">
        <v>5</v>
      </c>
      <c r="E47" s="7">
        <v>17</v>
      </c>
      <c r="F47" s="19">
        <v>7.3296999999999999</v>
      </c>
      <c r="G47" s="5">
        <v>11.2</v>
      </c>
    </row>
    <row r="48" spans="1:7" ht="12.75" customHeight="1" x14ac:dyDescent="0.2">
      <c r="B48" s="7" t="s">
        <v>37</v>
      </c>
      <c r="C48" s="7" t="s">
        <v>22</v>
      </c>
      <c r="D48" s="7">
        <v>5</v>
      </c>
      <c r="E48" s="7">
        <v>24</v>
      </c>
      <c r="F48" s="19">
        <v>6.7656999999999998</v>
      </c>
      <c r="G48" s="5">
        <v>10.6</v>
      </c>
    </row>
    <row r="49" spans="1:7" ht="12.75" customHeight="1" x14ac:dyDescent="0.2">
      <c r="B49" s="7" t="s">
        <v>37</v>
      </c>
      <c r="C49" s="7" t="s">
        <v>22</v>
      </c>
      <c r="D49" s="7">
        <v>5</v>
      </c>
      <c r="E49" s="7">
        <v>35</v>
      </c>
      <c r="F49" s="19">
        <v>7.2234999999999996</v>
      </c>
      <c r="G49" s="5">
        <v>11</v>
      </c>
    </row>
    <row r="50" spans="1:7" ht="12.75" customHeight="1" x14ac:dyDescent="0.2">
      <c r="B50" s="7" t="s">
        <v>37</v>
      </c>
      <c r="C50" s="7" t="s">
        <v>22</v>
      </c>
      <c r="D50" s="7">
        <v>5</v>
      </c>
      <c r="E50" s="7">
        <v>44</v>
      </c>
      <c r="F50" s="19">
        <v>7.2702999999999998</v>
      </c>
      <c r="G50" s="5">
        <v>11</v>
      </c>
    </row>
    <row r="51" spans="1:7" ht="12.75" customHeight="1" x14ac:dyDescent="0.2">
      <c r="A51" s="10">
        <f>COUNT(F42:F51)</f>
        <v>10</v>
      </c>
      <c r="B51" s="10" t="s">
        <v>37</v>
      </c>
      <c r="C51" s="10" t="s">
        <v>22</v>
      </c>
      <c r="D51" s="10">
        <v>5</v>
      </c>
      <c r="E51" s="10">
        <v>49</v>
      </c>
      <c r="F51" s="11">
        <v>7.5095000000000001</v>
      </c>
      <c r="G51" s="25">
        <v>11.3</v>
      </c>
    </row>
    <row r="52" spans="1:7" x14ac:dyDescent="0.2">
      <c r="A52" s="7">
        <f>COUNT(F2:F51)</f>
        <v>50</v>
      </c>
    </row>
  </sheetData>
  <printOptions horizontalCentered="1"/>
  <pageMargins left="0.25" right="0.25" top="0.75" bottom="0.75" header="0.3" footer="0.3"/>
  <pageSetup scale="95" orientation="portrait" r:id="rId1"/>
  <headerFooter>
    <oddHeader>&amp;F</oddHeader>
    <oddFooter>&amp;C&amp;A&amp;R&amp;D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DA318-FEC2-46CF-8A09-A758EF8C7BC7}">
  <sheetPr>
    <pageSetUpPr fitToPage="1"/>
  </sheetPr>
  <dimension ref="A1:J52"/>
  <sheetViews>
    <sheetView workbookViewId="0">
      <selection activeCell="F17" sqref="F17"/>
    </sheetView>
  </sheetViews>
  <sheetFormatPr defaultRowHeight="12.75" x14ac:dyDescent="0.2"/>
  <cols>
    <col min="1" max="1" width="3.75" style="7" customWidth="1"/>
    <col min="2" max="2" width="9.875" style="7" bestFit="1" customWidth="1"/>
    <col min="3" max="3" width="8.125" style="7" bestFit="1" customWidth="1"/>
    <col min="4" max="4" width="5.25" style="7" bestFit="1" customWidth="1"/>
    <col min="5" max="5" width="5.75" style="7" bestFit="1" customWidth="1"/>
    <col min="6" max="8" width="8" style="21" customWidth="1"/>
    <col min="9" max="9" width="9" style="7"/>
    <col min="10" max="10" width="9" style="21"/>
    <col min="11" max="16384" width="9" style="7"/>
  </cols>
  <sheetData>
    <row r="1" spans="1:10" s="15" customFormat="1" ht="63.75" x14ac:dyDescent="0.2">
      <c r="A1" s="28" t="s">
        <v>0</v>
      </c>
      <c r="B1" s="28" t="s">
        <v>32</v>
      </c>
      <c r="C1" s="28" t="s">
        <v>3</v>
      </c>
      <c r="D1" s="28" t="s">
        <v>33</v>
      </c>
      <c r="E1" s="28" t="s">
        <v>34</v>
      </c>
      <c r="F1" s="20" t="s">
        <v>64</v>
      </c>
      <c r="G1" s="20" t="s">
        <v>65</v>
      </c>
      <c r="H1" s="20" t="s">
        <v>66</v>
      </c>
      <c r="I1" s="28" t="s">
        <v>67</v>
      </c>
      <c r="J1" s="20" t="s">
        <v>68</v>
      </c>
    </row>
    <row r="2" spans="1:10" ht="12.75" customHeight="1" x14ac:dyDescent="0.2">
      <c r="B2" s="7" t="s">
        <v>36</v>
      </c>
      <c r="C2" s="7" t="s">
        <v>21</v>
      </c>
      <c r="D2" s="7">
        <v>1</v>
      </c>
      <c r="E2" s="7">
        <v>2</v>
      </c>
      <c r="F2" s="103">
        <v>0.19089999999999999</v>
      </c>
      <c r="G2" s="103">
        <v>0.10290000000000001</v>
      </c>
      <c r="H2" s="21">
        <f t="shared" ref="H2:H33" si="0">F2-G2</f>
        <v>8.7999999999999981E-2</v>
      </c>
      <c r="I2" s="12">
        <v>157</v>
      </c>
      <c r="J2" s="103">
        <v>7.8140000000000001E-2</v>
      </c>
    </row>
    <row r="3" spans="1:10" ht="12.75" customHeight="1" x14ac:dyDescent="0.2">
      <c r="B3" s="7" t="s">
        <v>36</v>
      </c>
      <c r="C3" s="7" t="s">
        <v>21</v>
      </c>
      <c r="D3" s="7">
        <v>1</v>
      </c>
      <c r="E3" s="7">
        <v>4</v>
      </c>
      <c r="F3" s="103">
        <v>0.19109999999999999</v>
      </c>
      <c r="G3" s="103">
        <v>0.1002</v>
      </c>
      <c r="H3" s="21">
        <f t="shared" si="0"/>
        <v>9.0899999999999995E-2</v>
      </c>
      <c r="I3" s="12">
        <v>153</v>
      </c>
      <c r="J3" s="103">
        <v>7.6780000000000001E-2</v>
      </c>
    </row>
    <row r="4" spans="1:10" ht="12.75" customHeight="1" x14ac:dyDescent="0.2">
      <c r="B4" s="7" t="s">
        <v>36</v>
      </c>
      <c r="C4" s="7" t="s">
        <v>21</v>
      </c>
      <c r="D4" s="7">
        <v>1</v>
      </c>
      <c r="E4" s="7">
        <v>8</v>
      </c>
      <c r="F4" s="103">
        <v>0.1925</v>
      </c>
      <c r="G4" s="103">
        <v>0.1024</v>
      </c>
      <c r="H4" s="21">
        <f t="shared" si="0"/>
        <v>9.01E-2</v>
      </c>
      <c r="I4" s="12">
        <v>158</v>
      </c>
      <c r="J4" s="103">
        <v>7.8070000000000001E-2</v>
      </c>
    </row>
    <row r="5" spans="1:10" ht="12.75" customHeight="1" x14ac:dyDescent="0.2">
      <c r="B5" s="7" t="s">
        <v>36</v>
      </c>
      <c r="C5" s="7" t="s">
        <v>21</v>
      </c>
      <c r="D5" s="7">
        <v>1</v>
      </c>
      <c r="E5" s="7">
        <v>13</v>
      </c>
      <c r="F5" s="103">
        <v>0.18909999999999999</v>
      </c>
      <c r="G5" s="103">
        <v>9.9900000000000003E-2</v>
      </c>
      <c r="H5" s="21">
        <f t="shared" si="0"/>
        <v>8.9199999999999988E-2</v>
      </c>
      <c r="I5" s="12">
        <v>154</v>
      </c>
      <c r="J5" s="103">
        <v>7.6550000000000007E-2</v>
      </c>
    </row>
    <row r="6" spans="1:10" ht="12.75" customHeight="1" x14ac:dyDescent="0.2">
      <c r="B6" s="7" t="s">
        <v>36</v>
      </c>
      <c r="C6" s="7" t="s">
        <v>21</v>
      </c>
      <c r="D6" s="7">
        <v>1</v>
      </c>
      <c r="E6" s="7">
        <v>21</v>
      </c>
      <c r="F6" s="103">
        <v>0.2016</v>
      </c>
      <c r="G6" s="103">
        <v>0.10059999999999999</v>
      </c>
      <c r="H6" s="21">
        <f t="shared" si="0"/>
        <v>0.10100000000000001</v>
      </c>
      <c r="I6" s="12">
        <v>148</v>
      </c>
      <c r="J6" s="103">
        <v>8.1290000000000001E-2</v>
      </c>
    </row>
    <row r="7" spans="1:10" ht="12.75" customHeight="1" x14ac:dyDescent="0.2">
      <c r="B7" s="7" t="s">
        <v>36</v>
      </c>
      <c r="C7" s="7" t="s">
        <v>21</v>
      </c>
      <c r="D7" s="7">
        <v>1</v>
      </c>
      <c r="E7" s="7">
        <v>27</v>
      </c>
      <c r="F7" s="103">
        <v>0.19800000000000001</v>
      </c>
      <c r="G7" s="103">
        <v>0.1012</v>
      </c>
      <c r="H7" s="21">
        <f t="shared" si="0"/>
        <v>9.6800000000000011E-2</v>
      </c>
      <c r="I7" s="12">
        <v>151</v>
      </c>
      <c r="J7" s="103">
        <v>8.1100000000000005E-2</v>
      </c>
    </row>
    <row r="8" spans="1:10" ht="12.75" customHeight="1" x14ac:dyDescent="0.2">
      <c r="B8" s="7" t="s">
        <v>36</v>
      </c>
      <c r="C8" s="7" t="s">
        <v>21</v>
      </c>
      <c r="D8" s="7">
        <v>1</v>
      </c>
      <c r="E8" s="7">
        <v>30</v>
      </c>
      <c r="F8" s="103">
        <v>0.183</v>
      </c>
      <c r="G8" s="103">
        <v>9.4700000000000006E-2</v>
      </c>
      <c r="H8" s="21">
        <f t="shared" si="0"/>
        <v>8.829999999999999E-2</v>
      </c>
      <c r="I8" s="12">
        <v>148</v>
      </c>
      <c r="J8" s="103">
        <v>6.9150000000000003E-2</v>
      </c>
    </row>
    <row r="9" spans="1:10" ht="12.75" customHeight="1" x14ac:dyDescent="0.2">
      <c r="B9" s="7" t="s">
        <v>36</v>
      </c>
      <c r="C9" s="7" t="s">
        <v>21</v>
      </c>
      <c r="D9" s="7">
        <v>1</v>
      </c>
      <c r="E9" s="7">
        <v>31</v>
      </c>
      <c r="F9" s="103">
        <v>0.18909999999999999</v>
      </c>
      <c r="G9" s="103">
        <v>9.8199999999999996E-2</v>
      </c>
      <c r="H9" s="21">
        <f t="shared" si="0"/>
        <v>9.0899999999999995E-2</v>
      </c>
      <c r="I9" s="12">
        <v>151</v>
      </c>
      <c r="J9" s="103">
        <v>7.3580000000000007E-2</v>
      </c>
    </row>
    <row r="10" spans="1:10" ht="12.75" customHeight="1" x14ac:dyDescent="0.2">
      <c r="B10" s="7" t="s">
        <v>36</v>
      </c>
      <c r="C10" s="7" t="s">
        <v>21</v>
      </c>
      <c r="D10" s="7">
        <v>1</v>
      </c>
      <c r="E10" s="7">
        <v>34</v>
      </c>
      <c r="F10" s="103">
        <v>0.17119999999999999</v>
      </c>
      <c r="G10" s="103">
        <v>9.9400000000000002E-2</v>
      </c>
      <c r="H10" s="21">
        <f t="shared" si="0"/>
        <v>7.1799999999999989E-2</v>
      </c>
      <c r="I10" s="12">
        <v>164</v>
      </c>
      <c r="J10" s="103">
        <v>6.54E-2</v>
      </c>
    </row>
    <row r="11" spans="1:10" ht="12.75" customHeight="1" x14ac:dyDescent="0.2">
      <c r="A11" s="10">
        <f>COUNT(F2:F11)</f>
        <v>10</v>
      </c>
      <c r="B11" s="10" t="s">
        <v>36</v>
      </c>
      <c r="C11" s="10" t="s">
        <v>21</v>
      </c>
      <c r="D11" s="10">
        <v>1</v>
      </c>
      <c r="E11" s="10">
        <v>39</v>
      </c>
      <c r="F11" s="104">
        <v>0.20830000000000001</v>
      </c>
      <c r="G11" s="104">
        <v>0.11700000000000001</v>
      </c>
      <c r="H11" s="104">
        <f t="shared" si="0"/>
        <v>9.1300000000000006E-2</v>
      </c>
      <c r="I11" s="10">
        <v>168</v>
      </c>
      <c r="J11" s="104">
        <v>9.4460000000000002E-2</v>
      </c>
    </row>
    <row r="12" spans="1:10" ht="12.75" customHeight="1" x14ac:dyDescent="0.2">
      <c r="B12" s="7" t="s">
        <v>36</v>
      </c>
      <c r="C12" s="7" t="s">
        <v>1</v>
      </c>
      <c r="D12" s="7">
        <v>2</v>
      </c>
      <c r="E12" s="7">
        <v>5</v>
      </c>
      <c r="F12" s="103">
        <v>0.19739999999999999</v>
      </c>
      <c r="G12" s="103">
        <v>0.1055</v>
      </c>
      <c r="H12" s="21">
        <f t="shared" si="0"/>
        <v>9.1899999999999996E-2</v>
      </c>
      <c r="I12" s="12">
        <v>159</v>
      </c>
      <c r="J12" s="103">
        <v>8.3720000000000003E-2</v>
      </c>
    </row>
    <row r="13" spans="1:10" ht="12.75" customHeight="1" x14ac:dyDescent="0.2">
      <c r="B13" s="7" t="s">
        <v>36</v>
      </c>
      <c r="C13" s="7" t="s">
        <v>1</v>
      </c>
      <c r="D13" s="7">
        <v>2</v>
      </c>
      <c r="E13" s="7">
        <v>15</v>
      </c>
      <c r="F13" s="103">
        <v>0.18790000000000001</v>
      </c>
      <c r="G13" s="103">
        <v>9.7299999999999998E-2</v>
      </c>
      <c r="H13" s="21">
        <f t="shared" si="0"/>
        <v>9.0600000000000014E-2</v>
      </c>
      <c r="I13" s="12">
        <v>149</v>
      </c>
      <c r="J13" s="103">
        <v>7.3779999999999998E-2</v>
      </c>
    </row>
    <row r="14" spans="1:10" ht="12.75" customHeight="1" x14ac:dyDescent="0.2">
      <c r="B14" s="7" t="s">
        <v>36</v>
      </c>
      <c r="C14" s="7" t="s">
        <v>1</v>
      </c>
      <c r="D14" s="7">
        <v>2</v>
      </c>
      <c r="E14" s="7">
        <v>20</v>
      </c>
      <c r="F14" s="103">
        <v>0.19650000000000001</v>
      </c>
      <c r="G14" s="103">
        <v>0.1009</v>
      </c>
      <c r="H14" s="21">
        <f t="shared" si="0"/>
        <v>9.5600000000000004E-2</v>
      </c>
      <c r="I14" s="12">
        <v>151</v>
      </c>
      <c r="J14" s="103">
        <v>7.9320000000000002E-2</v>
      </c>
    </row>
    <row r="15" spans="1:10" ht="12.75" customHeight="1" x14ac:dyDescent="0.2">
      <c r="B15" s="7" t="s">
        <v>36</v>
      </c>
      <c r="C15" s="7" t="s">
        <v>1</v>
      </c>
      <c r="D15" s="7">
        <v>2</v>
      </c>
      <c r="E15" s="7">
        <v>26</v>
      </c>
      <c r="F15" s="103">
        <v>0.1968</v>
      </c>
      <c r="G15" s="103">
        <v>0.10199999999999999</v>
      </c>
      <c r="H15" s="21">
        <f t="shared" si="0"/>
        <v>9.4800000000000009E-2</v>
      </c>
      <c r="I15" s="12">
        <v>154</v>
      </c>
      <c r="J15" s="103">
        <v>8.0390000000000003E-2</v>
      </c>
    </row>
    <row r="16" spans="1:10" ht="12.75" customHeight="1" x14ac:dyDescent="0.2">
      <c r="B16" s="7" t="s">
        <v>36</v>
      </c>
      <c r="C16" s="7" t="s">
        <v>1</v>
      </c>
      <c r="D16" s="7">
        <v>2</v>
      </c>
      <c r="E16" s="7">
        <v>29</v>
      </c>
      <c r="F16" s="103">
        <v>0.1812</v>
      </c>
      <c r="G16" s="103">
        <v>9.1700000000000004E-2</v>
      </c>
      <c r="H16" s="21">
        <f t="shared" si="0"/>
        <v>8.9499999999999996E-2</v>
      </c>
      <c r="I16" s="12">
        <v>144</v>
      </c>
      <c r="J16" s="103">
        <v>6.6519999999999996E-2</v>
      </c>
    </row>
    <row r="17" spans="1:10" ht="12.75" customHeight="1" x14ac:dyDescent="0.2">
      <c r="B17" s="7" t="s">
        <v>36</v>
      </c>
      <c r="C17" s="7" t="s">
        <v>1</v>
      </c>
      <c r="D17" s="7">
        <v>2</v>
      </c>
      <c r="E17" s="7">
        <v>32</v>
      </c>
      <c r="F17" s="103">
        <v>0.19070000000000001</v>
      </c>
      <c r="G17" s="103">
        <v>9.4399999999999998E-2</v>
      </c>
      <c r="H17" s="21">
        <f t="shared" si="0"/>
        <v>9.6300000000000011E-2</v>
      </c>
      <c r="I17" s="12">
        <v>144</v>
      </c>
      <c r="J17" s="103">
        <v>7.3160000000000003E-2</v>
      </c>
    </row>
    <row r="18" spans="1:10" ht="12.75" customHeight="1" x14ac:dyDescent="0.2">
      <c r="B18" s="7" t="s">
        <v>36</v>
      </c>
      <c r="C18" s="7" t="s">
        <v>1</v>
      </c>
      <c r="D18" s="7">
        <v>2</v>
      </c>
      <c r="E18" s="7">
        <v>36</v>
      </c>
      <c r="F18" s="103">
        <v>0.19339999999999999</v>
      </c>
      <c r="G18" s="103">
        <v>9.98E-2</v>
      </c>
      <c r="H18" s="21">
        <f t="shared" si="0"/>
        <v>9.3599999999999989E-2</v>
      </c>
      <c r="I18" s="12">
        <v>152</v>
      </c>
      <c r="J18" s="103">
        <v>7.7340000000000006E-2</v>
      </c>
    </row>
    <row r="19" spans="1:10" ht="12.75" customHeight="1" x14ac:dyDescent="0.2">
      <c r="B19" s="7" t="s">
        <v>36</v>
      </c>
      <c r="C19" s="7" t="s">
        <v>1</v>
      </c>
      <c r="D19" s="7">
        <v>2</v>
      </c>
      <c r="E19" s="7">
        <v>42</v>
      </c>
      <c r="F19" s="103">
        <v>0.2064</v>
      </c>
      <c r="G19" s="103">
        <v>0.10970000000000001</v>
      </c>
      <c r="H19" s="21">
        <f t="shared" si="0"/>
        <v>9.6699999999999994E-2</v>
      </c>
      <c r="I19" s="12">
        <v>162</v>
      </c>
      <c r="J19" s="103">
        <v>9.0469999999999995E-2</v>
      </c>
    </row>
    <row r="20" spans="1:10" ht="12.75" customHeight="1" x14ac:dyDescent="0.2">
      <c r="B20" s="7" t="s">
        <v>36</v>
      </c>
      <c r="C20" s="7" t="s">
        <v>1</v>
      </c>
      <c r="D20" s="7">
        <v>2</v>
      </c>
      <c r="E20" s="7">
        <v>43</v>
      </c>
      <c r="F20" s="103">
        <v>0.19350000000000001</v>
      </c>
      <c r="G20" s="103">
        <v>0.1024</v>
      </c>
      <c r="H20" s="21">
        <f t="shared" si="0"/>
        <v>9.11E-2</v>
      </c>
      <c r="I20" s="12">
        <v>157</v>
      </c>
      <c r="J20" s="103">
        <v>7.9719999999999999E-2</v>
      </c>
    </row>
    <row r="21" spans="1:10" ht="12.75" customHeight="1" x14ac:dyDescent="0.2">
      <c r="A21" s="10">
        <f>COUNT(F12:F21)</f>
        <v>10</v>
      </c>
      <c r="B21" s="10" t="s">
        <v>36</v>
      </c>
      <c r="C21" s="10" t="s">
        <v>1</v>
      </c>
      <c r="D21" s="10">
        <v>2</v>
      </c>
      <c r="E21" s="10">
        <v>46</v>
      </c>
      <c r="F21" s="104">
        <v>0.19969999999999999</v>
      </c>
      <c r="G21" s="104">
        <v>9.8400000000000001E-2</v>
      </c>
      <c r="H21" s="104">
        <f t="shared" si="0"/>
        <v>0.10129999999999999</v>
      </c>
      <c r="I21" s="10">
        <v>144</v>
      </c>
      <c r="J21" s="104">
        <v>8.0430000000000001E-2</v>
      </c>
    </row>
    <row r="22" spans="1:10" ht="12.75" customHeight="1" x14ac:dyDescent="0.2">
      <c r="B22" s="7" t="s">
        <v>36</v>
      </c>
      <c r="C22" s="7" t="s">
        <v>22</v>
      </c>
      <c r="D22" s="7">
        <v>3</v>
      </c>
      <c r="E22" s="7">
        <v>1</v>
      </c>
      <c r="F22" s="103">
        <v>0.19789999999999999</v>
      </c>
      <c r="G22" s="103">
        <v>9.2299999999999993E-2</v>
      </c>
      <c r="H22" s="21">
        <f t="shared" si="0"/>
        <v>0.1056</v>
      </c>
      <c r="I22" s="12">
        <v>136</v>
      </c>
      <c r="J22" s="103">
        <v>7.5109999999999996E-2</v>
      </c>
    </row>
    <row r="23" spans="1:10" ht="12.75" customHeight="1" x14ac:dyDescent="0.2">
      <c r="B23" s="7" t="s">
        <v>36</v>
      </c>
      <c r="C23" s="7" t="s">
        <v>22</v>
      </c>
      <c r="D23" s="7">
        <v>3</v>
      </c>
      <c r="E23" s="7">
        <v>16</v>
      </c>
      <c r="F23" s="103">
        <v>0.1779</v>
      </c>
      <c r="G23" s="103">
        <v>8.9800000000000005E-2</v>
      </c>
      <c r="H23" s="21">
        <f t="shared" si="0"/>
        <v>8.8099999999999998E-2</v>
      </c>
      <c r="I23" s="12">
        <v>142</v>
      </c>
      <c r="J23" s="103">
        <v>6.4390000000000003E-2</v>
      </c>
    </row>
    <row r="24" spans="1:10" ht="12.75" customHeight="1" x14ac:dyDescent="0.2">
      <c r="B24" s="7" t="s">
        <v>36</v>
      </c>
      <c r="C24" s="7" t="s">
        <v>22</v>
      </c>
      <c r="D24" s="7">
        <v>3</v>
      </c>
      <c r="E24" s="7">
        <v>19</v>
      </c>
      <c r="F24" s="103">
        <v>0.186</v>
      </c>
      <c r="G24" s="103">
        <v>9.1700000000000004E-2</v>
      </c>
      <c r="H24" s="21">
        <f t="shared" si="0"/>
        <v>9.4299999999999995E-2</v>
      </c>
      <c r="I24" s="12">
        <v>141</v>
      </c>
      <c r="J24" s="103">
        <v>6.9099999999999995E-2</v>
      </c>
    </row>
    <row r="25" spans="1:10" ht="12.75" customHeight="1" x14ac:dyDescent="0.2">
      <c r="B25" s="7" t="s">
        <v>36</v>
      </c>
      <c r="C25" s="7" t="s">
        <v>22</v>
      </c>
      <c r="D25" s="7">
        <v>3</v>
      </c>
      <c r="E25" s="7">
        <v>22</v>
      </c>
      <c r="F25" s="103">
        <v>0.1958</v>
      </c>
      <c r="G25" s="103">
        <v>0.1017</v>
      </c>
      <c r="H25" s="21">
        <f t="shared" si="0"/>
        <v>9.4100000000000003E-2</v>
      </c>
      <c r="I25" s="12">
        <v>153</v>
      </c>
      <c r="J25" s="103">
        <v>7.961E-2</v>
      </c>
    </row>
    <row r="26" spans="1:10" ht="12.75" customHeight="1" x14ac:dyDescent="0.2">
      <c r="B26" s="7" t="s">
        <v>36</v>
      </c>
      <c r="C26" s="7" t="s">
        <v>22</v>
      </c>
      <c r="D26" s="7">
        <v>3</v>
      </c>
      <c r="E26" s="7">
        <v>25</v>
      </c>
      <c r="F26" s="103">
        <v>0.18690000000000001</v>
      </c>
      <c r="G26" s="103">
        <v>9.9599999999999994E-2</v>
      </c>
      <c r="H26" s="21">
        <f t="shared" si="0"/>
        <v>8.7300000000000016E-2</v>
      </c>
      <c r="I26" s="12">
        <v>154</v>
      </c>
      <c r="J26" s="103">
        <v>7.4279999999999999E-2</v>
      </c>
    </row>
    <row r="27" spans="1:10" ht="12.75" customHeight="1" x14ac:dyDescent="0.2">
      <c r="B27" s="7" t="s">
        <v>36</v>
      </c>
      <c r="C27" s="7" t="s">
        <v>22</v>
      </c>
      <c r="D27" s="7">
        <v>3</v>
      </c>
      <c r="E27" s="7">
        <v>28</v>
      </c>
      <c r="F27" s="103">
        <v>0.19439999999999999</v>
      </c>
      <c r="G27" s="103">
        <v>9.6199999999999994E-2</v>
      </c>
      <c r="H27" s="21">
        <f t="shared" si="0"/>
        <v>9.8199999999999996E-2</v>
      </c>
      <c r="I27" s="12">
        <v>145</v>
      </c>
      <c r="J27" s="103">
        <v>7.5620000000000007E-2</v>
      </c>
    </row>
    <row r="28" spans="1:10" ht="12.75" customHeight="1" x14ac:dyDescent="0.2">
      <c r="B28" s="7" t="s">
        <v>36</v>
      </c>
      <c r="C28" s="7" t="s">
        <v>22</v>
      </c>
      <c r="D28" s="7">
        <v>3</v>
      </c>
      <c r="E28" s="7">
        <v>38</v>
      </c>
      <c r="F28" s="103">
        <v>0.2031</v>
      </c>
      <c r="G28" s="103">
        <v>9.9299999999999999E-2</v>
      </c>
      <c r="H28" s="21">
        <f t="shared" si="0"/>
        <v>0.1038</v>
      </c>
      <c r="I28" s="12">
        <v>145</v>
      </c>
      <c r="J28" s="103">
        <v>8.1699999999999995E-2</v>
      </c>
    </row>
    <row r="29" spans="1:10" ht="12.75" customHeight="1" x14ac:dyDescent="0.2">
      <c r="B29" s="7" t="s">
        <v>36</v>
      </c>
      <c r="C29" s="7" t="s">
        <v>22</v>
      </c>
      <c r="D29" s="7">
        <v>3</v>
      </c>
      <c r="E29" s="7">
        <v>40</v>
      </c>
      <c r="F29" s="103">
        <v>0.1973</v>
      </c>
      <c r="G29" s="103">
        <v>9.9599999999999994E-2</v>
      </c>
      <c r="H29" s="21">
        <f t="shared" si="0"/>
        <v>9.7700000000000009E-2</v>
      </c>
      <c r="I29" s="12">
        <v>149</v>
      </c>
      <c r="J29" s="103">
        <v>7.936E-2</v>
      </c>
    </row>
    <row r="30" spans="1:10" ht="12.75" customHeight="1" x14ac:dyDescent="0.2">
      <c r="B30" s="7" t="s">
        <v>36</v>
      </c>
      <c r="C30" s="7" t="s">
        <v>22</v>
      </c>
      <c r="D30" s="7">
        <v>3</v>
      </c>
      <c r="E30" s="7">
        <v>41</v>
      </c>
      <c r="F30" s="103">
        <v>0.1855</v>
      </c>
      <c r="G30" s="103">
        <v>9.1600000000000001E-2</v>
      </c>
      <c r="H30" s="21">
        <f t="shared" si="0"/>
        <v>9.3899999999999997E-2</v>
      </c>
      <c r="I30" s="12">
        <v>142</v>
      </c>
      <c r="J30" s="103">
        <v>6.8820000000000006E-2</v>
      </c>
    </row>
    <row r="31" spans="1:10" ht="12.75" customHeight="1" x14ac:dyDescent="0.2">
      <c r="A31" s="10">
        <f>COUNT(F22:F31)</f>
        <v>10</v>
      </c>
      <c r="B31" s="10" t="s">
        <v>36</v>
      </c>
      <c r="C31" s="10" t="s">
        <v>22</v>
      </c>
      <c r="D31" s="10">
        <v>3</v>
      </c>
      <c r="E31" s="10">
        <v>48</v>
      </c>
      <c r="F31" s="104">
        <v>0.19070000000000001</v>
      </c>
      <c r="G31" s="104">
        <v>9.0800000000000006E-2</v>
      </c>
      <c r="H31" s="104">
        <f t="shared" si="0"/>
        <v>9.9900000000000003E-2</v>
      </c>
      <c r="I31" s="10">
        <v>138</v>
      </c>
      <c r="J31" s="104">
        <v>7.0680000000000007E-2</v>
      </c>
    </row>
    <row r="32" spans="1:10" ht="12.75" customHeight="1" x14ac:dyDescent="0.2">
      <c r="B32" s="7" t="s">
        <v>37</v>
      </c>
      <c r="C32" s="7" t="s">
        <v>1</v>
      </c>
      <c r="D32" s="7">
        <v>4</v>
      </c>
      <c r="E32" s="7">
        <v>7</v>
      </c>
      <c r="F32" s="103">
        <v>0.18509999999999999</v>
      </c>
      <c r="G32" s="103">
        <v>9.5600000000000004E-2</v>
      </c>
      <c r="H32" s="21">
        <f t="shared" si="0"/>
        <v>8.9499999999999982E-2</v>
      </c>
      <c r="I32" s="12">
        <v>148</v>
      </c>
      <c r="J32" s="103">
        <v>7.0199999999999999E-2</v>
      </c>
    </row>
    <row r="33" spans="1:10" ht="12.75" customHeight="1" x14ac:dyDescent="0.2">
      <c r="B33" s="7" t="s">
        <v>37</v>
      </c>
      <c r="C33" s="7" t="s">
        <v>1</v>
      </c>
      <c r="D33" s="7">
        <v>4</v>
      </c>
      <c r="E33" s="7">
        <v>11</v>
      </c>
      <c r="F33" s="103">
        <v>0.1963</v>
      </c>
      <c r="G33" s="103">
        <v>0.10630000000000001</v>
      </c>
      <c r="H33" s="21">
        <f t="shared" si="0"/>
        <v>0.09</v>
      </c>
      <c r="I33" s="12">
        <v>160</v>
      </c>
      <c r="J33" s="103">
        <v>8.1390000000000004E-2</v>
      </c>
    </row>
    <row r="34" spans="1:10" ht="12.75" customHeight="1" x14ac:dyDescent="0.2">
      <c r="B34" s="7" t="s">
        <v>37</v>
      </c>
      <c r="C34" s="7" t="s">
        <v>1</v>
      </c>
      <c r="D34" s="7">
        <v>4</v>
      </c>
      <c r="E34" s="7">
        <v>14</v>
      </c>
      <c r="F34" s="103">
        <v>0.17519999999999999</v>
      </c>
      <c r="G34" s="103">
        <v>9.2499999999999999E-2</v>
      </c>
      <c r="H34" s="21">
        <f t="shared" ref="H34:H51" si="1">F34-G34</f>
        <v>8.2699999999999996E-2</v>
      </c>
      <c r="I34" s="12">
        <v>148</v>
      </c>
      <c r="J34" s="103">
        <v>6.4299999999999996E-2</v>
      </c>
    </row>
    <row r="35" spans="1:10" ht="12.75" customHeight="1" x14ac:dyDescent="0.2">
      <c r="B35" s="7" t="s">
        <v>37</v>
      </c>
      <c r="C35" s="7" t="s">
        <v>1</v>
      </c>
      <c r="D35" s="7">
        <v>4</v>
      </c>
      <c r="E35" s="7">
        <v>18</v>
      </c>
      <c r="F35" s="103">
        <v>0.17730000000000001</v>
      </c>
      <c r="G35" s="103">
        <v>8.4500000000000006E-2</v>
      </c>
      <c r="H35" s="21">
        <f t="shared" si="1"/>
        <v>9.2800000000000007E-2</v>
      </c>
      <c r="I35" s="12">
        <v>132</v>
      </c>
      <c r="J35" s="103">
        <v>6.1080000000000002E-2</v>
      </c>
    </row>
    <row r="36" spans="1:10" ht="12.75" customHeight="1" x14ac:dyDescent="0.2">
      <c r="B36" s="7" t="s">
        <v>37</v>
      </c>
      <c r="C36" s="7" t="s">
        <v>1</v>
      </c>
      <c r="D36" s="7">
        <v>4</v>
      </c>
      <c r="E36" s="7">
        <v>23</v>
      </c>
      <c r="F36" s="103">
        <v>0.1895</v>
      </c>
      <c r="G36" s="103">
        <v>0.1012</v>
      </c>
      <c r="H36" s="21">
        <f t="shared" si="1"/>
        <v>8.8300000000000003E-2</v>
      </c>
      <c r="I36" s="12">
        <v>155</v>
      </c>
      <c r="J36" s="103">
        <v>7.6369999999999993E-2</v>
      </c>
    </row>
    <row r="37" spans="1:10" ht="12.75" customHeight="1" x14ac:dyDescent="0.2">
      <c r="B37" s="7" t="s">
        <v>37</v>
      </c>
      <c r="C37" s="7" t="s">
        <v>1</v>
      </c>
      <c r="D37" s="7">
        <v>4</v>
      </c>
      <c r="E37" s="7">
        <v>33</v>
      </c>
      <c r="F37" s="103">
        <v>0.19350000000000001</v>
      </c>
      <c r="G37" s="103">
        <v>0.1011</v>
      </c>
      <c r="H37" s="21">
        <f t="shared" si="1"/>
        <v>9.240000000000001E-2</v>
      </c>
      <c r="I37" s="12">
        <v>153</v>
      </c>
      <c r="J37" s="103">
        <v>7.8539999999999999E-2</v>
      </c>
    </row>
    <row r="38" spans="1:10" ht="12.75" customHeight="1" x14ac:dyDescent="0.2">
      <c r="B38" s="7" t="s">
        <v>37</v>
      </c>
      <c r="C38" s="7" t="s">
        <v>1</v>
      </c>
      <c r="D38" s="7">
        <v>4</v>
      </c>
      <c r="E38" s="7">
        <v>37</v>
      </c>
      <c r="F38" s="103">
        <v>0.1883</v>
      </c>
      <c r="G38" s="103">
        <v>9.9099999999999994E-2</v>
      </c>
      <c r="H38" s="21">
        <f t="shared" si="1"/>
        <v>8.9200000000000002E-2</v>
      </c>
      <c r="I38" s="12">
        <v>152</v>
      </c>
      <c r="J38" s="103">
        <v>7.4899999999999994E-2</v>
      </c>
    </row>
    <row r="39" spans="1:10" ht="12.75" customHeight="1" x14ac:dyDescent="0.2">
      <c r="B39" s="7" t="s">
        <v>37</v>
      </c>
      <c r="C39" s="7" t="s">
        <v>1</v>
      </c>
      <c r="D39" s="7">
        <v>4</v>
      </c>
      <c r="E39" s="7">
        <v>45</v>
      </c>
      <c r="F39" s="103">
        <v>0.17849999999999999</v>
      </c>
      <c r="G39" s="103">
        <v>9.6600000000000005E-2</v>
      </c>
      <c r="H39" s="21">
        <f t="shared" si="1"/>
        <v>8.1899999999999987E-2</v>
      </c>
      <c r="I39" s="12">
        <v>153</v>
      </c>
      <c r="J39" s="103">
        <v>6.7479999999999998E-2</v>
      </c>
    </row>
    <row r="40" spans="1:10" ht="12.75" customHeight="1" x14ac:dyDescent="0.2">
      <c r="B40" s="7" t="s">
        <v>37</v>
      </c>
      <c r="C40" s="7" t="s">
        <v>1</v>
      </c>
      <c r="D40" s="7">
        <v>4</v>
      </c>
      <c r="E40" s="7">
        <v>47</v>
      </c>
      <c r="F40" s="103">
        <v>0.2001</v>
      </c>
      <c r="G40" s="103">
        <v>0.1019</v>
      </c>
      <c r="H40" s="21">
        <f t="shared" si="1"/>
        <v>9.8199999999999996E-2</v>
      </c>
      <c r="I40" s="12">
        <v>151</v>
      </c>
      <c r="J40" s="103">
        <v>8.1549999999999997E-2</v>
      </c>
    </row>
    <row r="41" spans="1:10" ht="12.75" customHeight="1" x14ac:dyDescent="0.2">
      <c r="A41" s="10">
        <f>COUNT(F32:F41)</f>
        <v>10</v>
      </c>
      <c r="B41" s="10" t="s">
        <v>37</v>
      </c>
      <c r="C41" s="10" t="s">
        <v>1</v>
      </c>
      <c r="D41" s="10">
        <v>4</v>
      </c>
      <c r="E41" s="10">
        <v>50</v>
      </c>
      <c r="F41" s="104">
        <v>0.2094</v>
      </c>
      <c r="G41" s="104">
        <v>0.10539999999999999</v>
      </c>
      <c r="H41" s="104">
        <f t="shared" si="1"/>
        <v>0.10400000000000001</v>
      </c>
      <c r="I41" s="10">
        <v>153</v>
      </c>
      <c r="J41" s="104">
        <v>8.8569999999999996E-2</v>
      </c>
    </row>
    <row r="42" spans="1:10" ht="12.75" customHeight="1" x14ac:dyDescent="0.2">
      <c r="B42" s="7" t="s">
        <v>37</v>
      </c>
      <c r="C42" s="7" t="s">
        <v>22</v>
      </c>
      <c r="D42" s="7">
        <v>5</v>
      </c>
      <c r="E42" s="7">
        <v>3</v>
      </c>
      <c r="F42" s="103">
        <v>0.20169999999999999</v>
      </c>
      <c r="G42" s="103">
        <v>0.1048</v>
      </c>
      <c r="H42" s="21">
        <f t="shared" si="1"/>
        <v>9.6899999999999986E-2</v>
      </c>
      <c r="I42" s="12">
        <v>154</v>
      </c>
      <c r="J42" s="103">
        <v>8.6260000000000003E-2</v>
      </c>
    </row>
    <row r="43" spans="1:10" ht="12.75" customHeight="1" x14ac:dyDescent="0.2">
      <c r="B43" s="7" t="s">
        <v>37</v>
      </c>
      <c r="C43" s="7" t="s">
        <v>22</v>
      </c>
      <c r="D43" s="7">
        <v>5</v>
      </c>
      <c r="E43" s="7">
        <v>6</v>
      </c>
      <c r="F43" s="103">
        <v>0.20599999999999999</v>
      </c>
      <c r="G43" s="103">
        <v>0.109</v>
      </c>
      <c r="H43" s="21">
        <f t="shared" si="1"/>
        <v>9.6999999999999989E-2</v>
      </c>
      <c r="I43" s="12">
        <v>159</v>
      </c>
      <c r="J43" s="103">
        <v>8.8489999999999999E-2</v>
      </c>
    </row>
    <row r="44" spans="1:10" ht="12.75" customHeight="1" x14ac:dyDescent="0.2">
      <c r="B44" s="7" t="s">
        <v>37</v>
      </c>
      <c r="C44" s="7" t="s">
        <v>22</v>
      </c>
      <c r="D44" s="7">
        <v>5</v>
      </c>
      <c r="E44" s="7">
        <v>9</v>
      </c>
      <c r="F44" s="103">
        <v>0.18410000000000001</v>
      </c>
      <c r="G44" s="103">
        <v>9.2299999999999993E-2</v>
      </c>
      <c r="H44" s="21">
        <f t="shared" si="1"/>
        <v>9.180000000000002E-2</v>
      </c>
      <c r="I44" s="12">
        <v>143</v>
      </c>
      <c r="J44" s="103">
        <v>6.8070000000000006E-2</v>
      </c>
    </row>
    <row r="45" spans="1:10" ht="12.75" customHeight="1" x14ac:dyDescent="0.2">
      <c r="B45" s="7" t="s">
        <v>37</v>
      </c>
      <c r="C45" s="7" t="s">
        <v>22</v>
      </c>
      <c r="D45" s="7">
        <v>5</v>
      </c>
      <c r="E45" s="7">
        <v>10</v>
      </c>
      <c r="F45" s="103">
        <v>0.17460000000000001</v>
      </c>
      <c r="G45" s="103">
        <v>8.8700000000000001E-2</v>
      </c>
      <c r="H45" s="21">
        <f t="shared" si="1"/>
        <v>8.5900000000000004E-2</v>
      </c>
      <c r="I45" s="12">
        <v>142</v>
      </c>
      <c r="J45" s="103">
        <v>6.2239999999999997E-2</v>
      </c>
    </row>
    <row r="46" spans="1:10" ht="12.75" customHeight="1" x14ac:dyDescent="0.2">
      <c r="B46" s="7" t="s">
        <v>37</v>
      </c>
      <c r="C46" s="7" t="s">
        <v>22</v>
      </c>
      <c r="D46" s="7">
        <v>5</v>
      </c>
      <c r="E46" s="7">
        <v>12</v>
      </c>
      <c r="F46" s="103">
        <v>0.20080000000000001</v>
      </c>
      <c r="G46" s="103">
        <v>0.1076</v>
      </c>
      <c r="H46" s="21">
        <f t="shared" si="1"/>
        <v>9.3200000000000005E-2</v>
      </c>
      <c r="I46" s="12">
        <v>162</v>
      </c>
      <c r="J46" s="103">
        <v>8.6379999999999998E-2</v>
      </c>
    </row>
    <row r="47" spans="1:10" ht="12.75" customHeight="1" x14ac:dyDescent="0.2">
      <c r="B47" s="7" t="s">
        <v>37</v>
      </c>
      <c r="C47" s="7" t="s">
        <v>22</v>
      </c>
      <c r="D47" s="7">
        <v>5</v>
      </c>
      <c r="E47" s="7">
        <v>17</v>
      </c>
      <c r="F47" s="103">
        <v>0.2102</v>
      </c>
      <c r="G47" s="103">
        <v>0.1036</v>
      </c>
      <c r="H47" s="21">
        <f t="shared" si="1"/>
        <v>0.1066</v>
      </c>
      <c r="I47" s="12">
        <v>149</v>
      </c>
      <c r="J47" s="103">
        <v>8.9149999999999993E-2</v>
      </c>
    </row>
    <row r="48" spans="1:10" ht="12.75" customHeight="1" x14ac:dyDescent="0.2">
      <c r="B48" s="7" t="s">
        <v>37</v>
      </c>
      <c r="C48" s="7" t="s">
        <v>22</v>
      </c>
      <c r="D48" s="7">
        <v>5</v>
      </c>
      <c r="E48" s="7">
        <v>24</v>
      </c>
      <c r="F48" s="103">
        <v>0.187</v>
      </c>
      <c r="G48" s="103">
        <v>0.1024</v>
      </c>
      <c r="H48" s="21">
        <f t="shared" si="1"/>
        <v>8.4599999999999995E-2</v>
      </c>
      <c r="I48" s="12">
        <v>159</v>
      </c>
      <c r="J48" s="103">
        <v>7.5109999999999996E-2</v>
      </c>
    </row>
    <row r="49" spans="1:10" ht="12.75" customHeight="1" x14ac:dyDescent="0.2">
      <c r="B49" s="7" t="s">
        <v>37</v>
      </c>
      <c r="C49" s="7" t="s">
        <v>22</v>
      </c>
      <c r="D49" s="7">
        <v>5</v>
      </c>
      <c r="E49" s="7">
        <v>35</v>
      </c>
      <c r="F49" s="103">
        <v>0.2084</v>
      </c>
      <c r="G49" s="103">
        <v>0.1055</v>
      </c>
      <c r="H49" s="21">
        <f t="shared" si="1"/>
        <v>0.10290000000000001</v>
      </c>
      <c r="I49" s="12">
        <v>154</v>
      </c>
      <c r="J49" s="103">
        <v>8.9130000000000001E-2</v>
      </c>
    </row>
    <row r="50" spans="1:10" ht="12.75" customHeight="1" x14ac:dyDescent="0.2">
      <c r="B50" s="7" t="s">
        <v>37</v>
      </c>
      <c r="C50" s="7" t="s">
        <v>22</v>
      </c>
      <c r="D50" s="7">
        <v>5</v>
      </c>
      <c r="E50" s="7">
        <v>44</v>
      </c>
      <c r="F50" s="103">
        <v>0.20880000000000001</v>
      </c>
      <c r="G50" s="103">
        <v>0.1041</v>
      </c>
      <c r="H50" s="21">
        <f t="shared" si="1"/>
        <v>0.10470000000000002</v>
      </c>
      <c r="I50" s="12">
        <v>151</v>
      </c>
      <c r="J50" s="103">
        <v>8.8109999999999994E-2</v>
      </c>
    </row>
    <row r="51" spans="1:10" ht="12.75" customHeight="1" x14ac:dyDescent="0.2">
      <c r="A51" s="10">
        <f>COUNT(F42:F51)</f>
        <v>10</v>
      </c>
      <c r="B51" s="10" t="s">
        <v>37</v>
      </c>
      <c r="C51" s="10" t="s">
        <v>22</v>
      </c>
      <c r="D51" s="10">
        <v>5</v>
      </c>
      <c r="E51" s="10">
        <v>49</v>
      </c>
      <c r="F51" s="104">
        <v>0.21690000000000001</v>
      </c>
      <c r="G51" s="104">
        <v>0.1081</v>
      </c>
      <c r="H51" s="104">
        <f t="shared" si="1"/>
        <v>0.10880000000000001</v>
      </c>
      <c r="I51" s="10">
        <v>154</v>
      </c>
      <c r="J51" s="104">
        <v>9.5710000000000003E-2</v>
      </c>
    </row>
    <row r="52" spans="1:10" x14ac:dyDescent="0.2">
      <c r="A52" s="7">
        <f>COUNT(F2:F51)</f>
        <v>50</v>
      </c>
    </row>
  </sheetData>
  <printOptions horizontalCentered="1"/>
  <pageMargins left="0.25" right="0.25" top="0.75" bottom="0.75" header="0.3" footer="0.3"/>
  <pageSetup scale="93" orientation="portrait" r:id="rId1"/>
  <headerFooter>
    <oddHeader>&amp;F</oddHeader>
    <oddFooter>&amp;C&amp;A&amp;R&amp;D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J52"/>
  <sheetViews>
    <sheetView workbookViewId="0">
      <selection activeCell="O28" sqref="O28"/>
    </sheetView>
  </sheetViews>
  <sheetFormatPr defaultColWidth="8" defaultRowHeight="12.75" x14ac:dyDescent="0.2"/>
  <cols>
    <col min="1" max="1" width="3.75" style="12" customWidth="1"/>
    <col min="2" max="2" width="9.875" style="7" bestFit="1" customWidth="1"/>
    <col min="3" max="3" width="8.125" style="7" bestFit="1" customWidth="1"/>
    <col min="4" max="4" width="5.375" style="7" bestFit="1" customWidth="1"/>
    <col min="5" max="5" width="5.875" style="7" bestFit="1" customWidth="1"/>
    <col min="6" max="6" width="7.375" style="8" bestFit="1" customWidth="1"/>
    <col min="7" max="7" width="7.5" style="8" bestFit="1" customWidth="1"/>
    <col min="8" max="8" width="7.375" style="8" bestFit="1" customWidth="1"/>
    <col min="9" max="9" width="7.375" style="9" bestFit="1" customWidth="1"/>
    <col min="10" max="10" width="8.125" style="9" bestFit="1" customWidth="1"/>
    <col min="11" max="16384" width="8" style="7"/>
  </cols>
  <sheetData>
    <row r="1" spans="1:10" s="15" customFormat="1" ht="51" x14ac:dyDescent="0.2">
      <c r="A1" s="28" t="s">
        <v>0</v>
      </c>
      <c r="B1" s="28" t="s">
        <v>32</v>
      </c>
      <c r="C1" s="28" t="s">
        <v>3</v>
      </c>
      <c r="D1" s="28" t="s">
        <v>33</v>
      </c>
      <c r="E1" s="28" t="s">
        <v>34</v>
      </c>
      <c r="F1" s="6" t="s">
        <v>53</v>
      </c>
      <c r="G1" s="6" t="s">
        <v>54</v>
      </c>
      <c r="H1" s="6" t="s">
        <v>55</v>
      </c>
      <c r="I1" s="18" t="s">
        <v>56</v>
      </c>
      <c r="J1" s="18" t="s">
        <v>57</v>
      </c>
    </row>
    <row r="2" spans="1:10" x14ac:dyDescent="0.2">
      <c r="B2" s="7" t="s">
        <v>36</v>
      </c>
      <c r="C2" s="7" t="s">
        <v>21</v>
      </c>
      <c r="D2" s="7">
        <v>1</v>
      </c>
      <c r="E2" s="7">
        <v>2</v>
      </c>
      <c r="F2" s="8">
        <v>9.0399999999999991</v>
      </c>
      <c r="G2" s="19">
        <v>123.49939999999999</v>
      </c>
      <c r="H2" s="19">
        <v>5.4653</v>
      </c>
      <c r="I2" s="9">
        <v>34.299999999999997</v>
      </c>
      <c r="J2" s="9">
        <v>185.1</v>
      </c>
    </row>
    <row r="3" spans="1:10" x14ac:dyDescent="0.2">
      <c r="B3" s="7" t="s">
        <v>36</v>
      </c>
      <c r="C3" s="7" t="s">
        <v>21</v>
      </c>
      <c r="D3" s="7">
        <v>1</v>
      </c>
      <c r="E3" s="7">
        <v>4</v>
      </c>
      <c r="F3" s="8">
        <v>11.19</v>
      </c>
      <c r="G3" s="19">
        <v>129.5984</v>
      </c>
      <c r="H3" s="19">
        <v>6.7882999999999996</v>
      </c>
      <c r="I3" s="9">
        <v>35.4</v>
      </c>
      <c r="J3" s="9">
        <v>148.29999999999998</v>
      </c>
    </row>
    <row r="4" spans="1:10" x14ac:dyDescent="0.2">
      <c r="B4" s="7" t="s">
        <v>36</v>
      </c>
      <c r="C4" s="7" t="s">
        <v>21</v>
      </c>
      <c r="D4" s="7">
        <v>1</v>
      </c>
      <c r="E4" s="7">
        <v>8</v>
      </c>
      <c r="F4" s="8">
        <v>9.58</v>
      </c>
      <c r="G4" s="19">
        <v>129.3177</v>
      </c>
      <c r="H4" s="19">
        <v>6.5174000000000003</v>
      </c>
      <c r="I4" s="9">
        <v>34.200000000000003</v>
      </c>
      <c r="J4" s="9">
        <v>155.70000000000002</v>
      </c>
    </row>
    <row r="5" spans="1:10" x14ac:dyDescent="0.2">
      <c r="B5" s="7" t="s">
        <v>36</v>
      </c>
      <c r="C5" s="7" t="s">
        <v>21</v>
      </c>
      <c r="D5" s="7">
        <v>1</v>
      </c>
      <c r="E5" s="7">
        <v>13</v>
      </c>
      <c r="F5" s="8">
        <v>10.280000000000001</v>
      </c>
      <c r="G5" s="19">
        <v>124.59699999999999</v>
      </c>
      <c r="H5" s="19">
        <v>6.0365000000000002</v>
      </c>
      <c r="I5" s="9">
        <v>33.4</v>
      </c>
      <c r="J5" s="9">
        <v>168.4</v>
      </c>
    </row>
    <row r="6" spans="1:10" x14ac:dyDescent="0.2">
      <c r="B6" s="7" t="s">
        <v>36</v>
      </c>
      <c r="C6" s="7" t="s">
        <v>21</v>
      </c>
      <c r="D6" s="7">
        <v>1</v>
      </c>
      <c r="E6" s="7">
        <v>21</v>
      </c>
      <c r="F6" s="8">
        <v>12.1</v>
      </c>
      <c r="G6" s="19">
        <v>184.7354</v>
      </c>
      <c r="H6" s="19">
        <v>7.1158999999999999</v>
      </c>
      <c r="I6" s="9">
        <v>34.799999999999997</v>
      </c>
      <c r="J6" s="9">
        <v>139.6</v>
      </c>
    </row>
    <row r="7" spans="1:10" x14ac:dyDescent="0.2">
      <c r="B7" s="7" t="s">
        <v>36</v>
      </c>
      <c r="C7" s="7" t="s">
        <v>21</v>
      </c>
      <c r="D7" s="7">
        <v>1</v>
      </c>
      <c r="E7" s="7">
        <v>27</v>
      </c>
      <c r="F7" s="8">
        <v>13.669999999999998</v>
      </c>
      <c r="G7" s="19">
        <v>210.64590000000001</v>
      </c>
      <c r="H7" s="19">
        <v>7.0975999999999999</v>
      </c>
      <c r="I7" s="9">
        <v>36.200000000000003</v>
      </c>
      <c r="J7" s="9">
        <v>142.9</v>
      </c>
    </row>
    <row r="8" spans="1:10" x14ac:dyDescent="0.2">
      <c r="A8" s="7"/>
      <c r="B8" s="7" t="s">
        <v>36</v>
      </c>
      <c r="C8" s="7" t="s">
        <v>21</v>
      </c>
      <c r="D8" s="7">
        <v>1</v>
      </c>
      <c r="E8" s="7">
        <v>30</v>
      </c>
      <c r="F8" s="8">
        <v>10</v>
      </c>
      <c r="G8" s="19">
        <v>132.55070000000001</v>
      </c>
      <c r="H8" s="19">
        <v>6.1321000000000003</v>
      </c>
      <c r="I8" s="9">
        <v>34.200000000000003</v>
      </c>
      <c r="J8" s="9">
        <v>170.9</v>
      </c>
    </row>
    <row r="9" spans="1:10" x14ac:dyDescent="0.2">
      <c r="B9" s="7" t="s">
        <v>36</v>
      </c>
      <c r="C9" s="7" t="s">
        <v>21</v>
      </c>
      <c r="D9" s="7">
        <v>1</v>
      </c>
      <c r="E9" s="7">
        <v>31</v>
      </c>
      <c r="F9" s="8">
        <v>11</v>
      </c>
      <c r="G9" s="19">
        <v>161.7174</v>
      </c>
      <c r="H9" s="19">
        <v>6.5829000000000004</v>
      </c>
      <c r="I9" s="9">
        <v>35.799999999999997</v>
      </c>
      <c r="J9" s="9">
        <v>158.9</v>
      </c>
    </row>
    <row r="10" spans="1:10" x14ac:dyDescent="0.2">
      <c r="B10" s="7" t="s">
        <v>36</v>
      </c>
      <c r="C10" s="7" t="s">
        <v>21</v>
      </c>
      <c r="D10" s="7">
        <v>1</v>
      </c>
      <c r="E10" s="7">
        <v>34</v>
      </c>
      <c r="F10" s="8">
        <v>11.49</v>
      </c>
      <c r="G10" s="19">
        <v>195.1848</v>
      </c>
      <c r="H10" s="19">
        <v>6.7146999999999997</v>
      </c>
      <c r="I10" s="9">
        <v>35.5</v>
      </c>
      <c r="J10" s="9">
        <v>148.69999999999999</v>
      </c>
    </row>
    <row r="11" spans="1:10" x14ac:dyDescent="0.2">
      <c r="A11" s="10">
        <f>COUNT(F2:F11)</f>
        <v>10</v>
      </c>
      <c r="B11" s="10" t="s">
        <v>36</v>
      </c>
      <c r="C11" s="10" t="s">
        <v>21</v>
      </c>
      <c r="D11" s="28">
        <v>1</v>
      </c>
      <c r="E11" s="28">
        <v>39</v>
      </c>
      <c r="F11" s="6">
        <v>14.719999999999999</v>
      </c>
      <c r="G11" s="6">
        <v>244.6994</v>
      </c>
      <c r="H11" s="6">
        <v>7.1696999999999997</v>
      </c>
      <c r="I11" s="18">
        <v>38.299999999999997</v>
      </c>
      <c r="J11" s="18">
        <v>138.1</v>
      </c>
    </row>
    <row r="12" spans="1:10" x14ac:dyDescent="0.2">
      <c r="B12" s="7" t="s">
        <v>36</v>
      </c>
      <c r="C12" s="7" t="s">
        <v>1</v>
      </c>
      <c r="D12" s="7">
        <v>2</v>
      </c>
      <c r="E12" s="7">
        <v>5</v>
      </c>
      <c r="F12" s="8">
        <v>9.33</v>
      </c>
      <c r="G12" s="19">
        <v>84.6203</v>
      </c>
      <c r="H12" s="19">
        <v>5.8228</v>
      </c>
      <c r="I12" s="9">
        <v>35.299999999999997</v>
      </c>
      <c r="J12" s="9">
        <v>179.4</v>
      </c>
    </row>
    <row r="13" spans="1:10" x14ac:dyDescent="0.2">
      <c r="B13" s="7" t="s">
        <v>36</v>
      </c>
      <c r="C13" s="7" t="s">
        <v>1</v>
      </c>
      <c r="D13" s="7">
        <v>2</v>
      </c>
      <c r="E13" s="7">
        <v>15</v>
      </c>
      <c r="F13" s="8">
        <v>10.52</v>
      </c>
      <c r="G13" s="19">
        <v>161.5907</v>
      </c>
      <c r="H13" s="19">
        <v>5.8918999999999997</v>
      </c>
      <c r="I13" s="9">
        <v>33.300000000000004</v>
      </c>
      <c r="J13" s="9">
        <v>167.1</v>
      </c>
    </row>
    <row r="14" spans="1:10" x14ac:dyDescent="0.2">
      <c r="A14" s="7"/>
      <c r="B14" s="7" t="s">
        <v>36</v>
      </c>
      <c r="C14" s="7" t="s">
        <v>1</v>
      </c>
      <c r="D14" s="7">
        <v>2</v>
      </c>
      <c r="E14" s="7">
        <v>20</v>
      </c>
      <c r="F14" s="8">
        <v>7.7</v>
      </c>
      <c r="G14" s="19">
        <v>108.18980000000001</v>
      </c>
      <c r="H14" s="19">
        <v>5.4711999999999996</v>
      </c>
      <c r="I14" s="9">
        <v>35.200000000000003</v>
      </c>
      <c r="J14" s="9">
        <v>192</v>
      </c>
    </row>
    <row r="15" spans="1:10" x14ac:dyDescent="0.2">
      <c r="B15" s="7" t="s">
        <v>36</v>
      </c>
      <c r="C15" s="7" t="s">
        <v>1</v>
      </c>
      <c r="D15" s="7">
        <v>2</v>
      </c>
      <c r="E15" s="7">
        <v>26</v>
      </c>
      <c r="F15" s="8">
        <v>10.93</v>
      </c>
      <c r="G15" s="19">
        <v>176.48099999999999</v>
      </c>
      <c r="H15" s="19">
        <v>5.782</v>
      </c>
      <c r="I15" s="9">
        <v>37.5</v>
      </c>
      <c r="J15" s="9">
        <v>171.7</v>
      </c>
    </row>
    <row r="16" spans="1:10" x14ac:dyDescent="0.2">
      <c r="B16" s="7" t="s">
        <v>36</v>
      </c>
      <c r="C16" s="7" t="s">
        <v>1</v>
      </c>
      <c r="D16" s="7">
        <v>2</v>
      </c>
      <c r="E16" s="7">
        <v>29</v>
      </c>
      <c r="F16" s="8">
        <v>6.21</v>
      </c>
      <c r="G16" s="19">
        <v>60.894199999999998</v>
      </c>
      <c r="H16" s="19">
        <v>5.7801</v>
      </c>
      <c r="I16" s="9">
        <v>30</v>
      </c>
      <c r="J16" s="9">
        <v>191.5</v>
      </c>
    </row>
    <row r="17" spans="1:10" x14ac:dyDescent="0.2">
      <c r="B17" s="7" t="s">
        <v>36</v>
      </c>
      <c r="C17" s="7" t="s">
        <v>1</v>
      </c>
      <c r="D17" s="7">
        <v>2</v>
      </c>
      <c r="E17" s="7">
        <v>32</v>
      </c>
      <c r="F17" s="8">
        <v>10.38</v>
      </c>
      <c r="G17" s="19">
        <v>154.6557</v>
      </c>
      <c r="H17" s="19">
        <v>5.8189000000000002</v>
      </c>
      <c r="I17" s="9">
        <v>36.6</v>
      </c>
      <c r="J17" s="9">
        <v>172.3</v>
      </c>
    </row>
    <row r="18" spans="1:10" x14ac:dyDescent="0.2">
      <c r="B18" s="7" t="s">
        <v>36</v>
      </c>
      <c r="C18" s="7" t="s">
        <v>1</v>
      </c>
      <c r="D18" s="7">
        <v>2</v>
      </c>
      <c r="E18" s="7">
        <v>36</v>
      </c>
      <c r="F18" s="8">
        <v>11.65</v>
      </c>
      <c r="G18" s="19">
        <v>168.27</v>
      </c>
      <c r="H18" s="19">
        <v>6.1665000000000001</v>
      </c>
      <c r="I18" s="9">
        <v>36.5</v>
      </c>
      <c r="J18" s="9">
        <v>162.5</v>
      </c>
    </row>
    <row r="19" spans="1:10" x14ac:dyDescent="0.2">
      <c r="B19" s="7" t="s">
        <v>36</v>
      </c>
      <c r="C19" s="7" t="s">
        <v>1</v>
      </c>
      <c r="D19" s="7">
        <v>2</v>
      </c>
      <c r="E19" s="7">
        <v>42</v>
      </c>
      <c r="F19" s="8">
        <v>10.59</v>
      </c>
      <c r="G19" s="19">
        <v>153.41640000000001</v>
      </c>
      <c r="H19" s="19">
        <v>6.2915999999999999</v>
      </c>
      <c r="I19" s="9">
        <v>36.6</v>
      </c>
      <c r="J19" s="9">
        <v>162.6</v>
      </c>
    </row>
    <row r="20" spans="1:10" x14ac:dyDescent="0.2">
      <c r="B20" s="7" t="s">
        <v>36</v>
      </c>
      <c r="C20" s="7" t="s">
        <v>1</v>
      </c>
      <c r="D20" s="7">
        <v>2</v>
      </c>
      <c r="E20" s="7">
        <v>43</v>
      </c>
      <c r="F20" s="8">
        <v>11.27</v>
      </c>
      <c r="G20" s="19">
        <v>146.1677</v>
      </c>
      <c r="H20" s="19">
        <v>5.9669999999999996</v>
      </c>
      <c r="I20" s="9">
        <v>36.799999999999997</v>
      </c>
      <c r="J20" s="9">
        <v>168.4</v>
      </c>
    </row>
    <row r="21" spans="1:10" x14ac:dyDescent="0.2">
      <c r="A21" s="10">
        <f>COUNT(F12:F21)</f>
        <v>10</v>
      </c>
      <c r="B21" s="10" t="s">
        <v>36</v>
      </c>
      <c r="C21" s="10" t="s">
        <v>1</v>
      </c>
      <c r="D21" s="28">
        <v>2</v>
      </c>
      <c r="E21" s="28">
        <v>46</v>
      </c>
      <c r="F21" s="6">
        <v>9.1</v>
      </c>
      <c r="G21" s="6">
        <v>131.62809999999999</v>
      </c>
      <c r="H21" s="6">
        <v>5.7740999999999998</v>
      </c>
      <c r="I21" s="18">
        <v>34.4</v>
      </c>
      <c r="J21" s="18">
        <v>184</v>
      </c>
    </row>
    <row r="22" spans="1:10" x14ac:dyDescent="0.2">
      <c r="B22" s="7" t="s">
        <v>36</v>
      </c>
      <c r="C22" s="7" t="s">
        <v>22</v>
      </c>
      <c r="D22" s="7">
        <v>3</v>
      </c>
      <c r="E22" s="7">
        <v>1</v>
      </c>
      <c r="F22" s="8">
        <v>7.61</v>
      </c>
      <c r="G22" s="19">
        <v>89.037700000000001</v>
      </c>
      <c r="H22" s="19">
        <v>5.4321999999999999</v>
      </c>
      <c r="I22" s="9">
        <v>35.1</v>
      </c>
      <c r="J22" s="9">
        <v>189.9</v>
      </c>
    </row>
    <row r="23" spans="1:10" x14ac:dyDescent="0.2">
      <c r="B23" s="7" t="s">
        <v>36</v>
      </c>
      <c r="C23" s="7" t="s">
        <v>22</v>
      </c>
      <c r="D23" s="7">
        <v>3</v>
      </c>
      <c r="E23" s="7">
        <v>16</v>
      </c>
      <c r="F23" s="8">
        <v>8.83</v>
      </c>
      <c r="G23" s="19">
        <v>108.6636</v>
      </c>
      <c r="H23" s="19">
        <v>5.3532000000000002</v>
      </c>
      <c r="I23" s="9">
        <v>38.800000000000004</v>
      </c>
      <c r="J23" s="9">
        <v>202.3</v>
      </c>
    </row>
    <row r="24" spans="1:10" x14ac:dyDescent="0.2">
      <c r="B24" s="7" t="s">
        <v>36</v>
      </c>
      <c r="C24" s="7" t="s">
        <v>22</v>
      </c>
      <c r="D24" s="7">
        <v>3</v>
      </c>
      <c r="E24" s="7">
        <v>19</v>
      </c>
      <c r="F24" s="8">
        <v>6.01</v>
      </c>
      <c r="G24" s="19">
        <v>47.840699999999998</v>
      </c>
      <c r="H24" s="19">
        <v>5.7987000000000002</v>
      </c>
      <c r="I24" s="9">
        <v>38.4</v>
      </c>
      <c r="J24" s="9">
        <v>179.10000000000002</v>
      </c>
    </row>
    <row r="25" spans="1:10" x14ac:dyDescent="0.2">
      <c r="B25" s="7" t="s">
        <v>36</v>
      </c>
      <c r="C25" s="7" t="s">
        <v>22</v>
      </c>
      <c r="D25" s="7">
        <v>3</v>
      </c>
      <c r="E25" s="7">
        <v>22</v>
      </c>
      <c r="F25" s="8">
        <v>6.5500000000000007</v>
      </c>
      <c r="G25" s="19">
        <v>66.466800000000006</v>
      </c>
      <c r="H25" s="19">
        <v>5.6677999999999997</v>
      </c>
      <c r="I25" s="9">
        <v>35.1</v>
      </c>
      <c r="J25" s="9">
        <v>183.7</v>
      </c>
    </row>
    <row r="26" spans="1:10" x14ac:dyDescent="0.2">
      <c r="B26" s="7" t="s">
        <v>36</v>
      </c>
      <c r="C26" s="7" t="s">
        <v>22</v>
      </c>
      <c r="D26" s="7">
        <v>3</v>
      </c>
      <c r="E26" s="7">
        <v>25</v>
      </c>
      <c r="F26" s="8">
        <v>6.97</v>
      </c>
      <c r="G26" s="19">
        <v>66.954099999999997</v>
      </c>
      <c r="H26" s="19">
        <v>5.7183000000000002</v>
      </c>
      <c r="I26" s="9">
        <v>37</v>
      </c>
      <c r="J26" s="9">
        <v>184.2</v>
      </c>
    </row>
    <row r="27" spans="1:10" x14ac:dyDescent="0.2">
      <c r="B27" s="7" t="s">
        <v>36</v>
      </c>
      <c r="C27" s="7" t="s">
        <v>22</v>
      </c>
      <c r="D27" s="7">
        <v>3</v>
      </c>
      <c r="E27" s="7">
        <v>28</v>
      </c>
      <c r="F27" s="8">
        <v>7.95</v>
      </c>
      <c r="G27" s="19">
        <v>88.161900000000003</v>
      </c>
      <c r="H27" s="19">
        <v>5.1173999999999999</v>
      </c>
      <c r="I27" s="9">
        <v>35.4</v>
      </c>
      <c r="J27" s="9">
        <v>205.4</v>
      </c>
    </row>
    <row r="28" spans="1:10" x14ac:dyDescent="0.2">
      <c r="B28" s="7" t="s">
        <v>36</v>
      </c>
      <c r="C28" s="7" t="s">
        <v>22</v>
      </c>
      <c r="D28" s="7">
        <v>3</v>
      </c>
      <c r="E28" s="7">
        <v>38</v>
      </c>
      <c r="F28" s="8">
        <v>6.65</v>
      </c>
      <c r="G28" s="19">
        <v>65.873699999999999</v>
      </c>
      <c r="H28" s="19">
        <v>5.5909000000000004</v>
      </c>
      <c r="I28" s="9">
        <v>35.200000000000003</v>
      </c>
      <c r="J28" s="9">
        <v>185.5</v>
      </c>
    </row>
    <row r="29" spans="1:10" x14ac:dyDescent="0.2">
      <c r="A29" s="7"/>
      <c r="B29" s="7" t="s">
        <v>36</v>
      </c>
      <c r="C29" s="7" t="s">
        <v>22</v>
      </c>
      <c r="D29" s="7">
        <v>3</v>
      </c>
      <c r="E29" s="7">
        <v>40</v>
      </c>
      <c r="F29" s="8">
        <v>8.34</v>
      </c>
      <c r="G29" s="19">
        <v>96.811999999999998</v>
      </c>
      <c r="H29" s="19">
        <v>5.5631000000000004</v>
      </c>
      <c r="I29" s="9">
        <v>37.1</v>
      </c>
      <c r="J29" s="9">
        <v>183.4</v>
      </c>
    </row>
    <row r="30" spans="1:10" x14ac:dyDescent="0.2">
      <c r="B30" s="7" t="s">
        <v>36</v>
      </c>
      <c r="C30" s="7" t="s">
        <v>22</v>
      </c>
      <c r="D30" s="7">
        <v>3</v>
      </c>
      <c r="E30" s="7">
        <v>41</v>
      </c>
      <c r="F30" s="8">
        <v>9.32</v>
      </c>
      <c r="G30" s="19">
        <v>122.6247</v>
      </c>
      <c r="H30" s="19">
        <v>5.5537999999999998</v>
      </c>
      <c r="I30" s="9">
        <v>38.9</v>
      </c>
      <c r="J30" s="9">
        <v>194.3</v>
      </c>
    </row>
    <row r="31" spans="1:10" x14ac:dyDescent="0.2">
      <c r="A31" s="10">
        <f>COUNT(F22:F31)</f>
        <v>10</v>
      </c>
      <c r="B31" s="10" t="s">
        <v>36</v>
      </c>
      <c r="C31" s="10" t="s">
        <v>22</v>
      </c>
      <c r="D31" s="28">
        <v>3</v>
      </c>
      <c r="E31" s="28">
        <v>48</v>
      </c>
      <c r="F31" s="6">
        <v>4.5900000000000007</v>
      </c>
      <c r="G31" s="6">
        <v>34.655900000000003</v>
      </c>
      <c r="H31" s="6">
        <v>5.2842000000000002</v>
      </c>
      <c r="I31" s="18">
        <v>38.699999999999996</v>
      </c>
      <c r="J31" s="18">
        <v>196.70000000000002</v>
      </c>
    </row>
    <row r="32" spans="1:10" x14ac:dyDescent="0.2">
      <c r="B32" s="7" t="s">
        <v>37</v>
      </c>
      <c r="C32" s="7" t="s">
        <v>1</v>
      </c>
      <c r="D32" s="7">
        <v>4</v>
      </c>
      <c r="E32" s="7">
        <v>7</v>
      </c>
      <c r="F32" s="8">
        <v>11.66</v>
      </c>
      <c r="G32" s="19">
        <v>154.6935</v>
      </c>
      <c r="H32" s="19">
        <v>6.4442000000000004</v>
      </c>
      <c r="I32" s="9">
        <v>39</v>
      </c>
      <c r="J32" s="9">
        <v>153.70000000000002</v>
      </c>
    </row>
    <row r="33" spans="1:10" x14ac:dyDescent="0.2">
      <c r="B33" s="7" t="s">
        <v>37</v>
      </c>
      <c r="C33" s="7" t="s">
        <v>1</v>
      </c>
      <c r="D33" s="7">
        <v>4</v>
      </c>
      <c r="E33" s="7">
        <v>11</v>
      </c>
      <c r="F33" s="8">
        <v>12.690000000000001</v>
      </c>
      <c r="G33" s="19">
        <v>191.2919</v>
      </c>
      <c r="H33" s="19">
        <v>6.4913999999999996</v>
      </c>
      <c r="I33" s="9">
        <v>33.9</v>
      </c>
      <c r="J33" s="9">
        <v>154.29999999999998</v>
      </c>
    </row>
    <row r="34" spans="1:10" x14ac:dyDescent="0.2">
      <c r="B34" s="7" t="s">
        <v>37</v>
      </c>
      <c r="C34" s="7" t="s">
        <v>1</v>
      </c>
      <c r="D34" s="7">
        <v>4</v>
      </c>
      <c r="E34" s="7">
        <v>14</v>
      </c>
      <c r="F34" s="8">
        <v>12.83</v>
      </c>
      <c r="G34" s="19">
        <v>219.11779999999999</v>
      </c>
      <c r="H34" s="19">
        <v>6.4351000000000003</v>
      </c>
      <c r="I34" s="9">
        <v>36</v>
      </c>
      <c r="J34" s="9">
        <v>156.4</v>
      </c>
    </row>
    <row r="35" spans="1:10" x14ac:dyDescent="0.2">
      <c r="B35" s="7" t="s">
        <v>37</v>
      </c>
      <c r="C35" s="7" t="s">
        <v>1</v>
      </c>
      <c r="D35" s="7">
        <v>4</v>
      </c>
      <c r="E35" s="7">
        <v>18</v>
      </c>
      <c r="F35" s="8">
        <v>12.989999999999998</v>
      </c>
      <c r="G35" s="19">
        <v>204.91800000000001</v>
      </c>
      <c r="H35" s="19">
        <v>6.7683</v>
      </c>
      <c r="I35" s="9">
        <v>36.700000000000003</v>
      </c>
      <c r="J35" s="9">
        <v>153.4</v>
      </c>
    </row>
    <row r="36" spans="1:10" x14ac:dyDescent="0.2">
      <c r="B36" s="7" t="s">
        <v>37</v>
      </c>
      <c r="C36" s="7" t="s">
        <v>1</v>
      </c>
      <c r="D36" s="7">
        <v>4</v>
      </c>
      <c r="E36" s="7">
        <v>23</v>
      </c>
      <c r="F36" s="8">
        <v>15.120000000000001</v>
      </c>
      <c r="G36" s="19">
        <v>229.38759999999999</v>
      </c>
      <c r="H36" s="19">
        <v>6.6672000000000002</v>
      </c>
      <c r="I36" s="9">
        <v>39.300000000000004</v>
      </c>
      <c r="J36" s="9">
        <v>156.4</v>
      </c>
    </row>
    <row r="37" spans="1:10" x14ac:dyDescent="0.2">
      <c r="B37" s="7" t="s">
        <v>37</v>
      </c>
      <c r="C37" s="7" t="s">
        <v>1</v>
      </c>
      <c r="D37" s="7">
        <v>4</v>
      </c>
      <c r="E37" s="7">
        <v>33</v>
      </c>
      <c r="F37" s="8">
        <v>12.33</v>
      </c>
      <c r="G37" s="19">
        <v>178.50049999999999</v>
      </c>
      <c r="H37" s="19">
        <v>6.0183</v>
      </c>
      <c r="I37" s="9">
        <v>36.5</v>
      </c>
      <c r="J37" s="9">
        <v>163.39999999999998</v>
      </c>
    </row>
    <row r="38" spans="1:10" x14ac:dyDescent="0.2">
      <c r="B38" s="7" t="s">
        <v>37</v>
      </c>
      <c r="C38" s="7" t="s">
        <v>1</v>
      </c>
      <c r="D38" s="7">
        <v>4</v>
      </c>
      <c r="E38" s="7">
        <v>37</v>
      </c>
      <c r="F38" s="8">
        <v>13.69</v>
      </c>
      <c r="G38" s="19">
        <v>189.18790000000001</v>
      </c>
      <c r="H38" s="19">
        <v>6.8849999999999998</v>
      </c>
      <c r="I38" s="9">
        <v>37.900000000000006</v>
      </c>
      <c r="J38" s="9">
        <v>152.10000000000002</v>
      </c>
    </row>
    <row r="39" spans="1:10" x14ac:dyDescent="0.2">
      <c r="B39" s="7" t="s">
        <v>37</v>
      </c>
      <c r="C39" s="7" t="s">
        <v>1</v>
      </c>
      <c r="D39" s="7">
        <v>4</v>
      </c>
      <c r="E39" s="7">
        <v>45</v>
      </c>
      <c r="F39" s="8">
        <v>14.35</v>
      </c>
      <c r="G39" s="19">
        <v>215.64009999999999</v>
      </c>
      <c r="H39" s="19">
        <v>6.0576999999999996</v>
      </c>
      <c r="I39" s="9">
        <v>38.1</v>
      </c>
      <c r="J39" s="9">
        <v>161.6</v>
      </c>
    </row>
    <row r="40" spans="1:10" x14ac:dyDescent="0.2">
      <c r="B40" s="7" t="s">
        <v>37</v>
      </c>
      <c r="C40" s="7" t="s">
        <v>1</v>
      </c>
      <c r="D40" s="7">
        <v>4</v>
      </c>
      <c r="E40" s="7">
        <v>47</v>
      </c>
      <c r="F40" s="8">
        <v>12.870000000000001</v>
      </c>
      <c r="G40" s="19">
        <v>153.81979999999999</v>
      </c>
      <c r="H40" s="19">
        <v>6.2834000000000003</v>
      </c>
      <c r="I40" s="9">
        <v>38.1</v>
      </c>
      <c r="J40" s="9">
        <v>159.5</v>
      </c>
    </row>
    <row r="41" spans="1:10" x14ac:dyDescent="0.2">
      <c r="A41" s="10">
        <f>COUNT(F32:F41)</f>
        <v>10</v>
      </c>
      <c r="B41" s="10" t="s">
        <v>37</v>
      </c>
      <c r="C41" s="10" t="s">
        <v>1</v>
      </c>
      <c r="D41" s="28">
        <v>4</v>
      </c>
      <c r="E41" s="28">
        <v>50</v>
      </c>
      <c r="F41" s="6">
        <v>10.85</v>
      </c>
      <c r="G41" s="6">
        <v>144.92099999999999</v>
      </c>
      <c r="H41" s="6">
        <v>6.1329000000000002</v>
      </c>
      <c r="I41" s="18">
        <v>35.1</v>
      </c>
      <c r="J41" s="18">
        <v>164.6</v>
      </c>
    </row>
    <row r="42" spans="1:10" x14ac:dyDescent="0.2">
      <c r="B42" s="7" t="s">
        <v>37</v>
      </c>
      <c r="C42" s="7" t="s">
        <v>22</v>
      </c>
      <c r="D42" s="7">
        <v>5</v>
      </c>
      <c r="E42" s="7">
        <v>3</v>
      </c>
      <c r="F42" s="8">
        <v>13.4</v>
      </c>
      <c r="G42" s="19">
        <v>208.3563</v>
      </c>
      <c r="H42" s="19">
        <v>6.4090999999999996</v>
      </c>
      <c r="I42" s="9">
        <v>38.699999999999996</v>
      </c>
      <c r="J42" s="9">
        <v>151.69999999999999</v>
      </c>
    </row>
    <row r="43" spans="1:10" x14ac:dyDescent="0.2">
      <c r="B43" s="7" t="s">
        <v>37</v>
      </c>
      <c r="C43" s="7" t="s">
        <v>22</v>
      </c>
      <c r="D43" s="7">
        <v>5</v>
      </c>
      <c r="E43" s="7">
        <v>6</v>
      </c>
      <c r="F43" s="8">
        <v>13</v>
      </c>
      <c r="G43" s="19">
        <v>176.12280000000001</v>
      </c>
      <c r="H43" s="19">
        <v>6.1558999999999999</v>
      </c>
      <c r="I43" s="9">
        <v>40.599999999999994</v>
      </c>
      <c r="J43" s="9">
        <v>161.6</v>
      </c>
    </row>
    <row r="44" spans="1:10" x14ac:dyDescent="0.2">
      <c r="B44" s="7" t="s">
        <v>37</v>
      </c>
      <c r="C44" s="7" t="s">
        <v>22</v>
      </c>
      <c r="D44" s="7">
        <v>5</v>
      </c>
      <c r="E44" s="7">
        <v>9</v>
      </c>
      <c r="F44" s="8">
        <v>12.25</v>
      </c>
      <c r="G44" s="19">
        <v>139.875</v>
      </c>
      <c r="H44" s="19">
        <v>5.7927</v>
      </c>
      <c r="I44" s="9">
        <v>39.9</v>
      </c>
      <c r="J44" s="9">
        <v>168.2</v>
      </c>
    </row>
    <row r="45" spans="1:10" x14ac:dyDescent="0.2">
      <c r="A45" s="7"/>
      <c r="B45" s="7" t="s">
        <v>37</v>
      </c>
      <c r="C45" s="7" t="s">
        <v>22</v>
      </c>
      <c r="D45" s="7">
        <v>5</v>
      </c>
      <c r="E45" s="7">
        <v>10</v>
      </c>
      <c r="F45" s="8">
        <v>11.1</v>
      </c>
      <c r="G45" s="19">
        <v>134.24879999999999</v>
      </c>
      <c r="H45" s="19">
        <v>6.5056000000000003</v>
      </c>
      <c r="I45" s="9">
        <v>36.1</v>
      </c>
      <c r="J45" s="9">
        <v>154.79999999999998</v>
      </c>
    </row>
    <row r="46" spans="1:10" x14ac:dyDescent="0.2">
      <c r="B46" s="7" t="s">
        <v>37</v>
      </c>
      <c r="C46" s="7" t="s">
        <v>22</v>
      </c>
      <c r="D46" s="7">
        <v>5</v>
      </c>
      <c r="E46" s="7">
        <v>12</v>
      </c>
      <c r="F46" s="8">
        <v>9.9500000000000011</v>
      </c>
      <c r="G46" s="19">
        <v>133.35390000000001</v>
      </c>
      <c r="H46" s="19">
        <v>5.9142999999999999</v>
      </c>
      <c r="I46" s="9">
        <v>35.9</v>
      </c>
      <c r="J46" s="9">
        <v>167.7</v>
      </c>
    </row>
    <row r="47" spans="1:10" x14ac:dyDescent="0.2">
      <c r="B47" s="7" t="s">
        <v>37</v>
      </c>
      <c r="C47" s="7" t="s">
        <v>22</v>
      </c>
      <c r="D47" s="7">
        <v>5</v>
      </c>
      <c r="E47" s="7">
        <v>17</v>
      </c>
      <c r="F47" s="8">
        <v>10.050000000000001</v>
      </c>
      <c r="G47" s="19">
        <v>149.8057</v>
      </c>
      <c r="H47" s="19">
        <v>6.01</v>
      </c>
      <c r="I47" s="9">
        <v>36.200000000000003</v>
      </c>
      <c r="J47" s="9">
        <v>172.1</v>
      </c>
    </row>
    <row r="48" spans="1:10" x14ac:dyDescent="0.2">
      <c r="B48" s="7" t="s">
        <v>37</v>
      </c>
      <c r="C48" s="7" t="s">
        <v>22</v>
      </c>
      <c r="D48" s="7">
        <v>5</v>
      </c>
      <c r="E48" s="7">
        <v>24</v>
      </c>
      <c r="F48" s="8">
        <v>11.97</v>
      </c>
      <c r="G48" s="19">
        <v>148.7766</v>
      </c>
      <c r="H48" s="19">
        <v>6.0016999999999996</v>
      </c>
      <c r="I48" s="9">
        <v>40.200000000000003</v>
      </c>
      <c r="J48" s="9">
        <v>166.8</v>
      </c>
    </row>
    <row r="49" spans="1:10" x14ac:dyDescent="0.2">
      <c r="B49" s="7" t="s">
        <v>37</v>
      </c>
      <c r="C49" s="7" t="s">
        <v>22</v>
      </c>
      <c r="D49" s="7">
        <v>5</v>
      </c>
      <c r="E49" s="7">
        <v>35</v>
      </c>
      <c r="F49" s="8">
        <v>12.120000000000001</v>
      </c>
      <c r="G49" s="19">
        <v>171.9058</v>
      </c>
      <c r="H49" s="19">
        <v>5.9062999999999999</v>
      </c>
      <c r="I49" s="9">
        <v>39.6</v>
      </c>
      <c r="J49" s="9">
        <v>171</v>
      </c>
    </row>
    <row r="50" spans="1:10" x14ac:dyDescent="0.2">
      <c r="B50" s="7" t="s">
        <v>37</v>
      </c>
      <c r="C50" s="7" t="s">
        <v>22</v>
      </c>
      <c r="D50" s="7">
        <v>5</v>
      </c>
      <c r="E50" s="7">
        <v>44</v>
      </c>
      <c r="F50" s="8">
        <v>10.96</v>
      </c>
      <c r="G50" s="19">
        <v>149.72669999999999</v>
      </c>
      <c r="H50" s="19">
        <v>5.8516000000000004</v>
      </c>
      <c r="I50" s="9">
        <v>37.799999999999997</v>
      </c>
      <c r="J50" s="9">
        <v>174.5</v>
      </c>
    </row>
    <row r="51" spans="1:10" x14ac:dyDescent="0.2">
      <c r="A51" s="10">
        <f>COUNT(F42:F51)</f>
        <v>10</v>
      </c>
      <c r="B51" s="10" t="s">
        <v>37</v>
      </c>
      <c r="C51" s="10" t="s">
        <v>22</v>
      </c>
      <c r="D51" s="28">
        <v>5</v>
      </c>
      <c r="E51" s="28">
        <v>49</v>
      </c>
      <c r="F51" s="6">
        <v>11.29</v>
      </c>
      <c r="G51" s="6">
        <v>113.94029999999999</v>
      </c>
      <c r="H51" s="6">
        <v>5.8597999999999999</v>
      </c>
      <c r="I51" s="18">
        <v>40.200000000000003</v>
      </c>
      <c r="J51" s="18">
        <v>171.8</v>
      </c>
    </row>
    <row r="52" spans="1:10" x14ac:dyDescent="0.2">
      <c r="A52" s="12">
        <f>COUNT(F2:F51)</f>
        <v>50</v>
      </c>
    </row>
  </sheetData>
  <printOptions horizontalCentered="1"/>
  <pageMargins left="0.25" right="0.25" top="0.75" bottom="0.75" header="0.3" footer="0.3"/>
  <pageSetup scale="95" orientation="portrait" r:id="rId1"/>
  <headerFooter>
    <oddHeader>&amp;F</oddHeader>
    <oddFooter>&amp;C&amp;A&amp;R&amp;D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1FF42-C19F-4092-99F8-B9568C3B51B1}">
  <sheetPr>
    <pageSetUpPr fitToPage="1"/>
  </sheetPr>
  <dimension ref="A1:K52"/>
  <sheetViews>
    <sheetView topLeftCell="B1" workbookViewId="0">
      <selection activeCell="J22" sqref="J22"/>
    </sheetView>
  </sheetViews>
  <sheetFormatPr defaultRowHeight="12.75" x14ac:dyDescent="0.2"/>
  <cols>
    <col min="1" max="1" width="3.75" style="24" customWidth="1"/>
    <col min="2" max="2" width="10.625" style="26" customWidth="1"/>
    <col min="3" max="3" width="9.375" style="26" customWidth="1"/>
    <col min="4" max="4" width="5.875" style="26" customWidth="1"/>
    <col min="5" max="5" width="5.75" style="26" bestFit="1" customWidth="1"/>
    <col min="6" max="6" width="7.375" style="3" bestFit="1" customWidth="1"/>
    <col min="7" max="8" width="9" style="3"/>
    <col min="9" max="9" width="9" style="4"/>
    <col min="10" max="10" width="7.375" style="4" bestFit="1" customWidth="1"/>
    <col min="11" max="11" width="15.75" style="26" customWidth="1"/>
    <col min="12" max="16384" width="9" style="26"/>
  </cols>
  <sheetData>
    <row r="1" spans="1:11" s="107" customFormat="1" ht="51" x14ac:dyDescent="0.2">
      <c r="A1" s="23" t="s">
        <v>0</v>
      </c>
      <c r="B1" s="23" t="s">
        <v>32</v>
      </c>
      <c r="C1" s="23" t="s">
        <v>3</v>
      </c>
      <c r="D1" s="23" t="s">
        <v>33</v>
      </c>
      <c r="E1" s="23" t="s">
        <v>34</v>
      </c>
      <c r="F1" s="1" t="s">
        <v>58</v>
      </c>
      <c r="G1" s="1" t="s">
        <v>59</v>
      </c>
      <c r="H1" s="1" t="s">
        <v>60</v>
      </c>
      <c r="I1" s="2" t="s">
        <v>61</v>
      </c>
      <c r="J1" s="2" t="s">
        <v>62</v>
      </c>
      <c r="K1" s="23" t="s">
        <v>2</v>
      </c>
    </row>
    <row r="2" spans="1:11" x14ac:dyDescent="0.2">
      <c r="B2" s="26" t="s">
        <v>36</v>
      </c>
      <c r="C2" s="26" t="s">
        <v>21</v>
      </c>
      <c r="D2" s="26">
        <v>1</v>
      </c>
      <c r="E2" s="26">
        <v>2</v>
      </c>
      <c r="F2" s="3">
        <v>34.020000000000003</v>
      </c>
      <c r="G2" s="113">
        <v>352.3408</v>
      </c>
      <c r="H2" s="113">
        <v>7.5101000000000004</v>
      </c>
      <c r="I2" s="4">
        <v>53.400000000000006</v>
      </c>
      <c r="J2" s="4">
        <v>135.6</v>
      </c>
    </row>
    <row r="3" spans="1:11" x14ac:dyDescent="0.2">
      <c r="B3" s="26" t="s">
        <v>36</v>
      </c>
      <c r="C3" s="26" t="s">
        <v>21</v>
      </c>
      <c r="D3" s="26">
        <v>1</v>
      </c>
      <c r="E3" s="26">
        <v>4</v>
      </c>
      <c r="F3" s="3">
        <v>35.72</v>
      </c>
      <c r="G3" s="113">
        <v>330.14429999999999</v>
      </c>
      <c r="H3" s="113">
        <v>7.6532</v>
      </c>
      <c r="I3" s="4">
        <v>57.2</v>
      </c>
      <c r="J3" s="4">
        <v>117</v>
      </c>
    </row>
    <row r="4" spans="1:11" x14ac:dyDescent="0.2">
      <c r="B4" s="26" t="s">
        <v>36</v>
      </c>
      <c r="C4" s="26" t="s">
        <v>21</v>
      </c>
      <c r="D4" s="26">
        <v>1</v>
      </c>
      <c r="E4" s="26">
        <v>8</v>
      </c>
      <c r="F4" s="3">
        <v>31.53</v>
      </c>
      <c r="G4" s="113">
        <v>365.5684</v>
      </c>
      <c r="H4" s="113">
        <v>6.4089</v>
      </c>
      <c r="I4" s="4">
        <v>51.7</v>
      </c>
      <c r="J4" s="4">
        <v>151.60000000000002</v>
      </c>
    </row>
    <row r="5" spans="1:11" x14ac:dyDescent="0.2">
      <c r="B5" s="26" t="s">
        <v>36</v>
      </c>
      <c r="C5" s="26" t="s">
        <v>21</v>
      </c>
      <c r="D5" s="26">
        <v>1</v>
      </c>
      <c r="E5" s="26">
        <v>13</v>
      </c>
      <c r="F5" s="3">
        <v>30.14</v>
      </c>
      <c r="G5" s="113">
        <v>314.04570000000001</v>
      </c>
      <c r="H5" s="113">
        <v>6.5407000000000002</v>
      </c>
      <c r="I5" s="4">
        <v>52</v>
      </c>
      <c r="J5" s="4">
        <v>155.1</v>
      </c>
    </row>
    <row r="6" spans="1:11" x14ac:dyDescent="0.2">
      <c r="B6" s="26" t="s">
        <v>36</v>
      </c>
      <c r="C6" s="26" t="s">
        <v>21</v>
      </c>
      <c r="D6" s="26">
        <v>1</v>
      </c>
      <c r="E6" s="26">
        <v>21</v>
      </c>
      <c r="F6" s="3">
        <v>33.200000000000003</v>
      </c>
      <c r="G6" s="113">
        <v>380.97489999999999</v>
      </c>
      <c r="H6" s="113">
        <v>6.4085999999999999</v>
      </c>
      <c r="I6" s="4">
        <v>52.400000000000006</v>
      </c>
      <c r="J6" s="4">
        <v>159.6</v>
      </c>
    </row>
    <row r="7" spans="1:11" x14ac:dyDescent="0.2">
      <c r="B7" s="26" t="s">
        <v>36</v>
      </c>
      <c r="C7" s="26" t="s">
        <v>21</v>
      </c>
      <c r="D7" s="26">
        <v>1</v>
      </c>
      <c r="E7" s="26">
        <v>27</v>
      </c>
      <c r="F7" s="3">
        <v>32.93</v>
      </c>
      <c r="G7" s="113">
        <v>402.89859999999999</v>
      </c>
      <c r="H7" s="113">
        <v>7.1134000000000004</v>
      </c>
      <c r="I7" s="4">
        <v>51.9</v>
      </c>
      <c r="J7" s="4">
        <v>136.69999999999999</v>
      </c>
    </row>
    <row r="8" spans="1:11" x14ac:dyDescent="0.2">
      <c r="A8" s="26"/>
      <c r="B8" s="26" t="s">
        <v>36</v>
      </c>
      <c r="C8" s="26" t="s">
        <v>21</v>
      </c>
      <c r="D8" s="26">
        <v>1</v>
      </c>
      <c r="E8" s="26">
        <v>30</v>
      </c>
      <c r="F8" s="3">
        <v>33.550000000000004</v>
      </c>
      <c r="G8" s="3">
        <v>394.37880000000001</v>
      </c>
      <c r="H8" s="3">
        <v>7.5757000000000003</v>
      </c>
      <c r="I8" s="4">
        <v>51.2</v>
      </c>
      <c r="J8" s="4">
        <v>118.3</v>
      </c>
    </row>
    <row r="9" spans="1:11" x14ac:dyDescent="0.2">
      <c r="B9" s="26" t="s">
        <v>36</v>
      </c>
      <c r="C9" s="26" t="s">
        <v>21</v>
      </c>
      <c r="D9" s="26">
        <v>1</v>
      </c>
      <c r="E9" s="26">
        <v>31</v>
      </c>
      <c r="F9" s="3">
        <v>30.470000000000002</v>
      </c>
      <c r="G9" s="113">
        <v>360.56560000000002</v>
      </c>
      <c r="H9" s="113">
        <v>6.7241</v>
      </c>
      <c r="I9" s="4">
        <v>49.4</v>
      </c>
      <c r="J9" s="4">
        <v>143.1</v>
      </c>
    </row>
    <row r="10" spans="1:11" x14ac:dyDescent="0.2">
      <c r="B10" s="26" t="s">
        <v>36</v>
      </c>
      <c r="C10" s="26" t="s">
        <v>21</v>
      </c>
      <c r="D10" s="26">
        <v>1</v>
      </c>
      <c r="E10" s="26">
        <v>34</v>
      </c>
      <c r="G10" s="113"/>
      <c r="H10" s="113"/>
      <c r="K10" s="108" t="s">
        <v>63</v>
      </c>
    </row>
    <row r="11" spans="1:11" x14ac:dyDescent="0.2">
      <c r="A11" s="106">
        <f>COUNT(F2:F11)</f>
        <v>9</v>
      </c>
      <c r="B11" s="106" t="s">
        <v>36</v>
      </c>
      <c r="C11" s="106" t="s">
        <v>21</v>
      </c>
      <c r="D11" s="106">
        <v>1</v>
      </c>
      <c r="E11" s="106">
        <v>39</v>
      </c>
      <c r="F11" s="1">
        <v>35.229999999999997</v>
      </c>
      <c r="G11" s="1">
        <v>344.71550000000002</v>
      </c>
      <c r="H11" s="1">
        <v>6.9790999999999999</v>
      </c>
      <c r="I11" s="2">
        <v>57.1</v>
      </c>
      <c r="J11" s="2">
        <v>141.1</v>
      </c>
      <c r="K11" s="23"/>
    </row>
    <row r="12" spans="1:11" x14ac:dyDescent="0.2">
      <c r="B12" s="26" t="s">
        <v>36</v>
      </c>
      <c r="C12" s="26" t="s">
        <v>1</v>
      </c>
      <c r="D12" s="26">
        <v>2</v>
      </c>
      <c r="E12" s="26">
        <v>5</v>
      </c>
      <c r="F12" s="3">
        <v>30.36</v>
      </c>
      <c r="G12" s="113">
        <v>305.5317</v>
      </c>
      <c r="H12" s="113">
        <v>6.6325000000000003</v>
      </c>
      <c r="I12" s="4">
        <v>50.1</v>
      </c>
      <c r="J12" s="4">
        <v>157</v>
      </c>
    </row>
    <row r="13" spans="1:11" x14ac:dyDescent="0.2">
      <c r="B13" s="26" t="s">
        <v>36</v>
      </c>
      <c r="C13" s="26" t="s">
        <v>1</v>
      </c>
      <c r="D13" s="26">
        <v>2</v>
      </c>
      <c r="E13" s="26">
        <v>15</v>
      </c>
      <c r="F13" s="3">
        <v>28.93</v>
      </c>
      <c r="G13" s="113">
        <v>301.49770000000001</v>
      </c>
      <c r="H13" s="113">
        <v>6.5865</v>
      </c>
      <c r="I13" s="4">
        <v>48.099999999999994</v>
      </c>
      <c r="J13" s="4">
        <v>148.10000000000002</v>
      </c>
    </row>
    <row r="14" spans="1:11" x14ac:dyDescent="0.2">
      <c r="A14" s="26"/>
      <c r="B14" s="26" t="s">
        <v>36</v>
      </c>
      <c r="C14" s="26" t="s">
        <v>1</v>
      </c>
      <c r="D14" s="26">
        <v>2</v>
      </c>
      <c r="E14" s="26">
        <v>20</v>
      </c>
      <c r="F14" s="3">
        <v>30.29</v>
      </c>
      <c r="G14" s="3">
        <v>288.8186</v>
      </c>
      <c r="H14" s="3">
        <v>6.1779999999999999</v>
      </c>
      <c r="I14" s="4">
        <v>49.6</v>
      </c>
      <c r="J14" s="4">
        <v>168.1</v>
      </c>
    </row>
    <row r="15" spans="1:11" x14ac:dyDescent="0.2">
      <c r="B15" s="26" t="s">
        <v>36</v>
      </c>
      <c r="C15" s="26" t="s">
        <v>1</v>
      </c>
      <c r="D15" s="26">
        <v>2</v>
      </c>
      <c r="E15" s="26">
        <v>26</v>
      </c>
      <c r="F15" s="3">
        <v>31.47</v>
      </c>
      <c r="G15" s="113">
        <v>273.7783</v>
      </c>
      <c r="H15" s="113">
        <v>6.2994000000000003</v>
      </c>
      <c r="I15" s="4">
        <v>54</v>
      </c>
      <c r="J15" s="4">
        <v>157.5</v>
      </c>
    </row>
    <row r="16" spans="1:11" x14ac:dyDescent="0.2">
      <c r="B16" s="26" t="s">
        <v>36</v>
      </c>
      <c r="C16" s="26" t="s">
        <v>1</v>
      </c>
      <c r="D16" s="26">
        <v>2</v>
      </c>
      <c r="E16" s="26">
        <v>29</v>
      </c>
      <c r="F16" s="3">
        <v>28.24</v>
      </c>
      <c r="G16" s="113">
        <v>274.5333</v>
      </c>
      <c r="H16" s="113">
        <v>6.7590000000000003</v>
      </c>
      <c r="I16" s="4">
        <v>48.5</v>
      </c>
      <c r="J16" s="4">
        <v>148</v>
      </c>
    </row>
    <row r="17" spans="1:11" x14ac:dyDescent="0.2">
      <c r="B17" s="26" t="s">
        <v>36</v>
      </c>
      <c r="C17" s="26" t="s">
        <v>1</v>
      </c>
      <c r="D17" s="26">
        <v>2</v>
      </c>
      <c r="E17" s="26">
        <v>32</v>
      </c>
      <c r="F17" s="3">
        <v>28.7</v>
      </c>
      <c r="G17" s="113">
        <v>302.14249999999998</v>
      </c>
      <c r="H17" s="113">
        <v>6.4024000000000001</v>
      </c>
      <c r="I17" s="4">
        <v>49</v>
      </c>
      <c r="J17" s="4">
        <v>158.29999999999998</v>
      </c>
    </row>
    <row r="18" spans="1:11" x14ac:dyDescent="0.2">
      <c r="B18" s="26" t="s">
        <v>36</v>
      </c>
      <c r="C18" s="26" t="s">
        <v>1</v>
      </c>
      <c r="D18" s="26">
        <v>2</v>
      </c>
      <c r="E18" s="26">
        <v>36</v>
      </c>
      <c r="F18" s="3">
        <v>27.88</v>
      </c>
      <c r="G18" s="113">
        <v>251.32759999999999</v>
      </c>
      <c r="H18" s="113">
        <v>5.6486999999999998</v>
      </c>
      <c r="I18" s="4">
        <v>50.9</v>
      </c>
      <c r="J18" s="4">
        <v>176.1</v>
      </c>
    </row>
    <row r="19" spans="1:11" x14ac:dyDescent="0.2">
      <c r="B19" s="26" t="s">
        <v>36</v>
      </c>
      <c r="C19" s="26" t="s">
        <v>1</v>
      </c>
      <c r="D19" s="26">
        <v>2</v>
      </c>
      <c r="E19" s="26">
        <v>42</v>
      </c>
      <c r="F19" s="3">
        <v>29.04</v>
      </c>
      <c r="G19" s="113">
        <v>249.06780000000001</v>
      </c>
      <c r="H19" s="113">
        <v>6.4027000000000003</v>
      </c>
      <c r="I19" s="4">
        <v>52.699999999999996</v>
      </c>
      <c r="J19" s="4">
        <v>159.70000000000002</v>
      </c>
    </row>
    <row r="20" spans="1:11" x14ac:dyDescent="0.2">
      <c r="B20" s="26" t="s">
        <v>36</v>
      </c>
      <c r="C20" s="26" t="s">
        <v>1</v>
      </c>
      <c r="D20" s="26">
        <v>2</v>
      </c>
      <c r="E20" s="26">
        <v>43</v>
      </c>
      <c r="F20" s="3">
        <v>31.8</v>
      </c>
      <c r="G20" s="113">
        <v>290.76929999999999</v>
      </c>
      <c r="H20" s="113">
        <v>6.5279999999999996</v>
      </c>
      <c r="I20" s="4">
        <v>53.699999999999996</v>
      </c>
      <c r="J20" s="4">
        <v>150</v>
      </c>
    </row>
    <row r="21" spans="1:11" x14ac:dyDescent="0.2">
      <c r="A21" s="106">
        <f>COUNT(F12:F21)</f>
        <v>10</v>
      </c>
      <c r="B21" s="106" t="s">
        <v>36</v>
      </c>
      <c r="C21" s="106" t="s">
        <v>1</v>
      </c>
      <c r="D21" s="106">
        <v>2</v>
      </c>
      <c r="E21" s="106">
        <v>46</v>
      </c>
      <c r="F21" s="1">
        <v>31.25</v>
      </c>
      <c r="G21" s="1">
        <v>295.96420000000001</v>
      </c>
      <c r="H21" s="1">
        <v>7.0606999999999998</v>
      </c>
      <c r="I21" s="2">
        <v>48.9</v>
      </c>
      <c r="J21" s="2">
        <v>130.80000000000001</v>
      </c>
      <c r="K21" s="23"/>
    </row>
    <row r="22" spans="1:11" x14ac:dyDescent="0.2">
      <c r="B22" s="26" t="s">
        <v>36</v>
      </c>
      <c r="C22" s="26" t="s">
        <v>22</v>
      </c>
      <c r="D22" s="26">
        <v>3</v>
      </c>
      <c r="E22" s="26">
        <v>1</v>
      </c>
      <c r="F22" s="3">
        <v>25.540000000000003</v>
      </c>
      <c r="G22" s="113">
        <v>296.2654</v>
      </c>
      <c r="H22" s="113">
        <v>5.5941999999999998</v>
      </c>
      <c r="I22" s="4">
        <v>48.300000000000004</v>
      </c>
      <c r="J22" s="4">
        <v>172.8</v>
      </c>
    </row>
    <row r="23" spans="1:11" x14ac:dyDescent="0.2">
      <c r="B23" s="26" t="s">
        <v>36</v>
      </c>
      <c r="C23" s="26" t="s">
        <v>22</v>
      </c>
      <c r="D23" s="26">
        <v>3</v>
      </c>
      <c r="E23" s="26">
        <v>16</v>
      </c>
      <c r="F23" s="3">
        <v>24.79</v>
      </c>
      <c r="G23" s="113">
        <v>227.29079999999999</v>
      </c>
      <c r="H23" s="113">
        <v>5.9935</v>
      </c>
      <c r="I23" s="4">
        <v>48.9</v>
      </c>
      <c r="J23" s="4">
        <v>167.5</v>
      </c>
    </row>
    <row r="24" spans="1:11" x14ac:dyDescent="0.2">
      <c r="B24" s="26" t="s">
        <v>36</v>
      </c>
      <c r="C24" s="26" t="s">
        <v>22</v>
      </c>
      <c r="D24" s="26">
        <v>3</v>
      </c>
      <c r="E24" s="26">
        <v>19</v>
      </c>
      <c r="F24" s="3">
        <v>20.599999999999998</v>
      </c>
      <c r="G24" s="113">
        <v>254.29810000000001</v>
      </c>
      <c r="H24" s="113">
        <v>5.7195</v>
      </c>
      <c r="I24" s="4">
        <v>44.900000000000006</v>
      </c>
      <c r="J24" s="4">
        <v>182.79999999999998</v>
      </c>
    </row>
    <row r="25" spans="1:11" x14ac:dyDescent="0.2">
      <c r="B25" s="26" t="s">
        <v>36</v>
      </c>
      <c r="C25" s="26" t="s">
        <v>22</v>
      </c>
      <c r="D25" s="26">
        <v>3</v>
      </c>
      <c r="E25" s="26">
        <v>22</v>
      </c>
      <c r="F25" s="3">
        <v>23.32</v>
      </c>
      <c r="G25" s="113">
        <v>266.2672</v>
      </c>
      <c r="H25" s="113">
        <v>6.5490000000000004</v>
      </c>
      <c r="I25" s="4">
        <v>46.800000000000004</v>
      </c>
      <c r="J25" s="4">
        <v>149.10000000000002</v>
      </c>
    </row>
    <row r="26" spans="1:11" x14ac:dyDescent="0.2">
      <c r="B26" s="26" t="s">
        <v>36</v>
      </c>
      <c r="C26" s="26" t="s">
        <v>22</v>
      </c>
      <c r="D26" s="26">
        <v>3</v>
      </c>
      <c r="E26" s="26">
        <v>25</v>
      </c>
      <c r="F26" s="3">
        <v>23.23</v>
      </c>
      <c r="G26" s="113">
        <v>221.2055</v>
      </c>
      <c r="H26" s="113">
        <v>5.5740999999999996</v>
      </c>
      <c r="I26" s="4">
        <v>46.699999999999996</v>
      </c>
      <c r="J26" s="4">
        <v>176.5</v>
      </c>
    </row>
    <row r="27" spans="1:11" x14ac:dyDescent="0.2">
      <c r="B27" s="26" t="s">
        <v>36</v>
      </c>
      <c r="C27" s="26" t="s">
        <v>22</v>
      </c>
      <c r="D27" s="26">
        <v>3</v>
      </c>
      <c r="E27" s="26">
        <v>28</v>
      </c>
      <c r="F27" s="3">
        <v>24.9</v>
      </c>
      <c r="G27" s="113">
        <v>245.065</v>
      </c>
      <c r="H27" s="113">
        <v>5.5324999999999998</v>
      </c>
      <c r="I27" s="4">
        <v>49.4</v>
      </c>
      <c r="J27" s="4">
        <v>181.5</v>
      </c>
    </row>
    <row r="28" spans="1:11" x14ac:dyDescent="0.2">
      <c r="B28" s="26" t="s">
        <v>36</v>
      </c>
      <c r="C28" s="26" t="s">
        <v>22</v>
      </c>
      <c r="D28" s="26">
        <v>3</v>
      </c>
      <c r="E28" s="26">
        <v>38</v>
      </c>
      <c r="F28" s="3">
        <v>20.39</v>
      </c>
      <c r="G28" s="113">
        <v>198.35560000000001</v>
      </c>
      <c r="H28" s="113">
        <v>5.6097000000000001</v>
      </c>
      <c r="I28" s="4">
        <v>44.900000000000006</v>
      </c>
      <c r="J28" s="4">
        <v>179.4</v>
      </c>
    </row>
    <row r="29" spans="1:11" x14ac:dyDescent="0.2">
      <c r="A29" s="26"/>
      <c r="B29" s="26" t="s">
        <v>36</v>
      </c>
      <c r="C29" s="26" t="s">
        <v>22</v>
      </c>
      <c r="D29" s="26">
        <v>3</v>
      </c>
      <c r="E29" s="26">
        <v>40</v>
      </c>
      <c r="F29" s="3">
        <v>25.480000000000004</v>
      </c>
      <c r="G29" s="3">
        <v>247.28729999999999</v>
      </c>
      <c r="H29" s="3">
        <v>5.782</v>
      </c>
      <c r="I29" s="4">
        <v>48.099999999999994</v>
      </c>
      <c r="J29" s="4">
        <v>174.5</v>
      </c>
    </row>
    <row r="30" spans="1:11" x14ac:dyDescent="0.2">
      <c r="B30" s="26" t="s">
        <v>36</v>
      </c>
      <c r="C30" s="26" t="s">
        <v>22</v>
      </c>
      <c r="D30" s="26">
        <v>3</v>
      </c>
      <c r="E30" s="26">
        <v>41</v>
      </c>
      <c r="F30" s="3">
        <v>21.84</v>
      </c>
      <c r="G30" s="113">
        <v>226.26339999999999</v>
      </c>
      <c r="H30" s="113">
        <v>5.5133999999999999</v>
      </c>
      <c r="I30" s="4">
        <v>45.199999999999996</v>
      </c>
      <c r="J30" s="4">
        <v>183.2</v>
      </c>
    </row>
    <row r="31" spans="1:11" x14ac:dyDescent="0.2">
      <c r="A31" s="106">
        <f>COUNT(F22:F31)</f>
        <v>10</v>
      </c>
      <c r="B31" s="106" t="s">
        <v>36</v>
      </c>
      <c r="C31" s="106" t="s">
        <v>22</v>
      </c>
      <c r="D31" s="106">
        <v>3</v>
      </c>
      <c r="E31" s="106">
        <v>48</v>
      </c>
      <c r="F31" s="1">
        <v>20.94</v>
      </c>
      <c r="G31" s="1">
        <v>221.21430000000001</v>
      </c>
      <c r="H31" s="1">
        <v>5.5716999999999999</v>
      </c>
      <c r="I31" s="2">
        <v>45.900000000000006</v>
      </c>
      <c r="J31" s="2">
        <v>178.2</v>
      </c>
      <c r="K31" s="23"/>
    </row>
    <row r="32" spans="1:11" x14ac:dyDescent="0.2">
      <c r="B32" s="26" t="s">
        <v>37</v>
      </c>
      <c r="C32" s="26" t="s">
        <v>1</v>
      </c>
      <c r="D32" s="26">
        <v>4</v>
      </c>
      <c r="E32" s="26">
        <v>7</v>
      </c>
      <c r="F32" s="3">
        <v>33.61</v>
      </c>
      <c r="G32" s="113">
        <v>329.78120000000001</v>
      </c>
      <c r="H32" s="113">
        <v>6.4634999999999998</v>
      </c>
      <c r="I32" s="4">
        <v>52.900000000000006</v>
      </c>
      <c r="J32" s="4">
        <v>149.9</v>
      </c>
    </row>
    <row r="33" spans="1:11" x14ac:dyDescent="0.2">
      <c r="B33" s="26" t="s">
        <v>37</v>
      </c>
      <c r="C33" s="26" t="s">
        <v>1</v>
      </c>
      <c r="D33" s="26">
        <v>4</v>
      </c>
      <c r="E33" s="26">
        <v>11</v>
      </c>
      <c r="F33" s="3">
        <v>33.589999999999996</v>
      </c>
      <c r="G33" s="113">
        <v>237.48349999999999</v>
      </c>
      <c r="H33" s="113">
        <v>6.8883999999999999</v>
      </c>
      <c r="I33" s="4">
        <v>53.3</v>
      </c>
      <c r="J33" s="4">
        <v>133.80000000000001</v>
      </c>
    </row>
    <row r="34" spans="1:11" x14ac:dyDescent="0.2">
      <c r="B34" s="26" t="s">
        <v>37</v>
      </c>
      <c r="C34" s="26" t="s">
        <v>1</v>
      </c>
      <c r="D34" s="26">
        <v>4</v>
      </c>
      <c r="E34" s="26">
        <v>14</v>
      </c>
      <c r="F34" s="3">
        <v>34.31</v>
      </c>
      <c r="G34" s="113">
        <v>415.18770000000001</v>
      </c>
      <c r="H34" s="113">
        <v>7.7866</v>
      </c>
      <c r="I34" s="4">
        <v>50.8</v>
      </c>
      <c r="J34" s="4">
        <v>130.20000000000002</v>
      </c>
    </row>
    <row r="35" spans="1:11" x14ac:dyDescent="0.2">
      <c r="B35" s="26" t="s">
        <v>37</v>
      </c>
      <c r="C35" s="26" t="s">
        <v>1</v>
      </c>
      <c r="D35" s="26">
        <v>4</v>
      </c>
      <c r="E35" s="26">
        <v>18</v>
      </c>
      <c r="F35" s="3">
        <v>32.14</v>
      </c>
      <c r="G35" s="113">
        <v>424.10660000000001</v>
      </c>
      <c r="H35" s="113">
        <v>6.8261000000000003</v>
      </c>
      <c r="I35" s="4">
        <v>46.5</v>
      </c>
      <c r="J35" s="4">
        <v>140.80000000000001</v>
      </c>
    </row>
    <row r="36" spans="1:11" x14ac:dyDescent="0.2">
      <c r="B36" s="26" t="s">
        <v>37</v>
      </c>
      <c r="C36" s="26" t="s">
        <v>1</v>
      </c>
      <c r="D36" s="26">
        <v>4</v>
      </c>
      <c r="E36" s="26">
        <v>23</v>
      </c>
      <c r="F36" s="3">
        <v>32.409999999999997</v>
      </c>
      <c r="G36" s="113">
        <v>283.91550000000001</v>
      </c>
      <c r="H36" s="113">
        <v>6.6727999999999996</v>
      </c>
      <c r="I36" s="4">
        <v>53</v>
      </c>
      <c r="J36" s="4">
        <v>144.4</v>
      </c>
    </row>
    <row r="37" spans="1:11" x14ac:dyDescent="0.2">
      <c r="B37" s="26" t="s">
        <v>37</v>
      </c>
      <c r="C37" s="26" t="s">
        <v>1</v>
      </c>
      <c r="D37" s="26">
        <v>4</v>
      </c>
      <c r="E37" s="26">
        <v>33</v>
      </c>
      <c r="F37" s="3">
        <v>32.090000000000003</v>
      </c>
      <c r="G37" s="113">
        <v>376.45699999999999</v>
      </c>
      <c r="H37" s="113">
        <v>6.4682000000000004</v>
      </c>
      <c r="I37" s="4">
        <v>52</v>
      </c>
      <c r="J37" s="4">
        <v>153.29999999999998</v>
      </c>
    </row>
    <row r="38" spans="1:11" x14ac:dyDescent="0.2">
      <c r="B38" s="26" t="s">
        <v>37</v>
      </c>
      <c r="C38" s="26" t="s">
        <v>1</v>
      </c>
      <c r="D38" s="26">
        <v>4</v>
      </c>
      <c r="E38" s="26">
        <v>37</v>
      </c>
      <c r="F38" s="3">
        <v>32.200000000000003</v>
      </c>
      <c r="G38" s="113">
        <v>309.41129999999998</v>
      </c>
      <c r="H38" s="113">
        <v>6.5472999999999999</v>
      </c>
      <c r="I38" s="4">
        <v>53.400000000000006</v>
      </c>
      <c r="J38" s="4">
        <v>155.6</v>
      </c>
    </row>
    <row r="39" spans="1:11" x14ac:dyDescent="0.2">
      <c r="B39" s="26" t="s">
        <v>37</v>
      </c>
      <c r="C39" s="26" t="s">
        <v>1</v>
      </c>
      <c r="D39" s="26">
        <v>4</v>
      </c>
      <c r="E39" s="26">
        <v>45</v>
      </c>
      <c r="F39" s="3">
        <v>30.470000000000002</v>
      </c>
      <c r="G39" s="113">
        <v>281.10840000000002</v>
      </c>
      <c r="H39" s="113">
        <v>6.2758000000000003</v>
      </c>
      <c r="I39" s="4">
        <v>52.900000000000006</v>
      </c>
      <c r="J39" s="4">
        <v>157.4</v>
      </c>
    </row>
    <row r="40" spans="1:11" x14ac:dyDescent="0.2">
      <c r="B40" s="26" t="s">
        <v>37</v>
      </c>
      <c r="C40" s="26" t="s">
        <v>1</v>
      </c>
      <c r="D40" s="26">
        <v>4</v>
      </c>
      <c r="E40" s="26">
        <v>47</v>
      </c>
      <c r="F40" s="3">
        <v>33.97</v>
      </c>
      <c r="G40" s="113">
        <v>235.86269999999999</v>
      </c>
      <c r="H40" s="113">
        <v>6.2458999999999998</v>
      </c>
      <c r="I40" s="4">
        <v>56.099999999999994</v>
      </c>
      <c r="J40" s="4">
        <v>166.3</v>
      </c>
    </row>
    <row r="41" spans="1:11" x14ac:dyDescent="0.2">
      <c r="A41" s="106">
        <f>COUNT(F32:F41)</f>
        <v>10</v>
      </c>
      <c r="B41" s="106" t="s">
        <v>37</v>
      </c>
      <c r="C41" s="106" t="s">
        <v>1</v>
      </c>
      <c r="D41" s="106">
        <v>4</v>
      </c>
      <c r="E41" s="106">
        <v>50</v>
      </c>
      <c r="F41" s="1">
        <v>32.940000000000005</v>
      </c>
      <c r="G41" s="1">
        <v>355.38290000000001</v>
      </c>
      <c r="H41" s="1">
        <v>6.5395000000000003</v>
      </c>
      <c r="I41" s="2">
        <v>53.8</v>
      </c>
      <c r="J41" s="2">
        <v>147.29999999999998</v>
      </c>
      <c r="K41" s="23"/>
    </row>
    <row r="42" spans="1:11" x14ac:dyDescent="0.2">
      <c r="B42" s="26" t="s">
        <v>37</v>
      </c>
      <c r="C42" s="26" t="s">
        <v>22</v>
      </c>
      <c r="D42" s="26">
        <v>5</v>
      </c>
      <c r="E42" s="26">
        <v>3</v>
      </c>
      <c r="F42" s="3">
        <v>31.85</v>
      </c>
      <c r="G42" s="113">
        <v>258.7242</v>
      </c>
      <c r="H42" s="113">
        <v>6.1692999999999998</v>
      </c>
      <c r="I42" s="4">
        <v>54</v>
      </c>
      <c r="J42" s="4">
        <v>161.20000000000002</v>
      </c>
    </row>
    <row r="43" spans="1:11" x14ac:dyDescent="0.2">
      <c r="B43" s="26" t="s">
        <v>37</v>
      </c>
      <c r="C43" s="26" t="s">
        <v>22</v>
      </c>
      <c r="D43" s="26">
        <v>5</v>
      </c>
      <c r="E43" s="26">
        <v>6</v>
      </c>
      <c r="F43" s="3">
        <v>30.09</v>
      </c>
      <c r="G43" s="113">
        <v>336.42840000000001</v>
      </c>
      <c r="H43" s="113">
        <v>6.7830000000000004</v>
      </c>
      <c r="I43" s="4">
        <v>49</v>
      </c>
      <c r="J43" s="4">
        <v>140.19999999999999</v>
      </c>
    </row>
    <row r="44" spans="1:11" x14ac:dyDescent="0.2">
      <c r="B44" s="26" t="s">
        <v>37</v>
      </c>
      <c r="C44" s="26" t="s">
        <v>22</v>
      </c>
      <c r="D44" s="26">
        <v>5</v>
      </c>
      <c r="E44" s="26">
        <v>9</v>
      </c>
      <c r="F44" s="3">
        <v>31.430000000000003</v>
      </c>
      <c r="G44" s="113">
        <v>306.26909999999998</v>
      </c>
      <c r="H44" s="113">
        <v>6.8829000000000002</v>
      </c>
      <c r="I44" s="4">
        <v>52.5</v>
      </c>
      <c r="J44" s="4">
        <v>142</v>
      </c>
    </row>
    <row r="45" spans="1:11" x14ac:dyDescent="0.2">
      <c r="A45" s="26"/>
      <c r="B45" s="26" t="s">
        <v>37</v>
      </c>
      <c r="C45" s="26" t="s">
        <v>22</v>
      </c>
      <c r="D45" s="26">
        <v>5</v>
      </c>
      <c r="E45" s="26">
        <v>10</v>
      </c>
      <c r="F45" s="3">
        <v>30.099999999999998</v>
      </c>
      <c r="G45" s="3">
        <v>250.8168</v>
      </c>
      <c r="H45" s="3">
        <v>5.6898999999999997</v>
      </c>
      <c r="I45" s="4">
        <v>53.3</v>
      </c>
      <c r="J45" s="4">
        <v>180.10000000000002</v>
      </c>
    </row>
    <row r="46" spans="1:11" x14ac:dyDescent="0.2">
      <c r="B46" s="26" t="s">
        <v>37</v>
      </c>
      <c r="C46" s="26" t="s">
        <v>22</v>
      </c>
      <c r="D46" s="26">
        <v>5</v>
      </c>
      <c r="E46" s="26">
        <v>12</v>
      </c>
      <c r="F46" s="3">
        <v>30.659999999999997</v>
      </c>
      <c r="G46" s="113">
        <v>325.13810000000001</v>
      </c>
      <c r="H46" s="113">
        <v>6.1519000000000004</v>
      </c>
      <c r="I46" s="4">
        <v>52.5</v>
      </c>
      <c r="J46" s="4">
        <v>166.4</v>
      </c>
    </row>
    <row r="47" spans="1:11" x14ac:dyDescent="0.2">
      <c r="B47" s="26" t="s">
        <v>37</v>
      </c>
      <c r="C47" s="26" t="s">
        <v>22</v>
      </c>
      <c r="D47" s="26">
        <v>5</v>
      </c>
      <c r="E47" s="26">
        <v>17</v>
      </c>
      <c r="F47" s="3">
        <v>29.080000000000002</v>
      </c>
      <c r="G47" s="113">
        <v>315.11599999999999</v>
      </c>
      <c r="H47" s="113">
        <v>6.2788000000000004</v>
      </c>
      <c r="I47" s="4">
        <v>52</v>
      </c>
      <c r="J47" s="4">
        <v>158.29999999999998</v>
      </c>
    </row>
    <row r="48" spans="1:11" x14ac:dyDescent="0.2">
      <c r="B48" s="26" t="s">
        <v>37</v>
      </c>
      <c r="C48" s="26" t="s">
        <v>22</v>
      </c>
      <c r="D48" s="26">
        <v>5</v>
      </c>
      <c r="E48" s="26">
        <v>24</v>
      </c>
      <c r="F48" s="3">
        <v>29.38</v>
      </c>
      <c r="G48" s="113">
        <v>276.70089999999999</v>
      </c>
      <c r="H48" s="113">
        <v>6.4107000000000003</v>
      </c>
      <c r="I48" s="4">
        <v>52.5</v>
      </c>
      <c r="J48" s="4">
        <v>157.1</v>
      </c>
    </row>
    <row r="49" spans="1:11" x14ac:dyDescent="0.2">
      <c r="B49" s="26" t="s">
        <v>37</v>
      </c>
      <c r="C49" s="26" t="s">
        <v>22</v>
      </c>
      <c r="D49" s="26">
        <v>5</v>
      </c>
      <c r="E49" s="26">
        <v>35</v>
      </c>
      <c r="F49" s="3">
        <v>29.09</v>
      </c>
      <c r="G49" s="113">
        <v>246.22290000000001</v>
      </c>
      <c r="H49" s="113">
        <v>5.9870999999999999</v>
      </c>
      <c r="I49" s="4">
        <v>52.5</v>
      </c>
      <c r="J49" s="4">
        <v>165.20000000000002</v>
      </c>
    </row>
    <row r="50" spans="1:11" x14ac:dyDescent="0.2">
      <c r="B50" s="26" t="s">
        <v>37</v>
      </c>
      <c r="C50" s="26" t="s">
        <v>22</v>
      </c>
      <c r="D50" s="26">
        <v>5</v>
      </c>
      <c r="E50" s="26">
        <v>44</v>
      </c>
      <c r="F50" s="3">
        <v>30.490000000000002</v>
      </c>
      <c r="G50" s="113">
        <v>289.4332</v>
      </c>
      <c r="H50" s="113">
        <v>7.2930000000000001</v>
      </c>
      <c r="I50" s="4">
        <v>52.900000000000006</v>
      </c>
      <c r="J50" s="4">
        <v>137.19999999999999</v>
      </c>
    </row>
    <row r="51" spans="1:11" x14ac:dyDescent="0.2">
      <c r="A51" s="106">
        <f>COUNT(F42:F51)</f>
        <v>10</v>
      </c>
      <c r="B51" s="106" t="s">
        <v>37</v>
      </c>
      <c r="C51" s="106" t="s">
        <v>22</v>
      </c>
      <c r="D51" s="106">
        <v>5</v>
      </c>
      <c r="E51" s="106">
        <v>49</v>
      </c>
      <c r="F51" s="1">
        <v>28.33</v>
      </c>
      <c r="G51" s="1">
        <v>282.53320000000002</v>
      </c>
      <c r="H51" s="1">
        <v>5.8733000000000004</v>
      </c>
      <c r="I51" s="2">
        <v>50.8</v>
      </c>
      <c r="J51" s="2">
        <v>169.4</v>
      </c>
      <c r="K51" s="23"/>
    </row>
    <row r="52" spans="1:11" x14ac:dyDescent="0.2">
      <c r="A52" s="24">
        <f>COUNT(F2:F51)</f>
        <v>49</v>
      </c>
    </row>
  </sheetData>
  <printOptions horizontalCentered="1"/>
  <pageMargins left="0.25" right="0.25" top="0.75" bottom="0.75" header="0.3" footer="0.3"/>
  <pageSetup scale="95" orientation="portrait" r:id="rId1"/>
  <headerFooter>
    <oddHeader>&amp;F</oddHeader>
    <oddFooter>&amp;C&amp;A&amp;R&amp;D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Table</vt:lpstr>
      <vt:lpstr>Necropsy Body Weight</vt:lpstr>
      <vt:lpstr>Necropsy Uterus Weight</vt:lpstr>
      <vt:lpstr>uCT_Femur Total</vt:lpstr>
      <vt:lpstr>uCT_Femur Diaphysis Cortical</vt:lpstr>
      <vt:lpstr>uCT_Femur Metaphysis Cancellous</vt:lpstr>
      <vt:lpstr> uCT_Femur Epiphysis Cancellous</vt:lpstr>
      <vt:lpstr>uCT_Humerus_Total</vt:lpstr>
      <vt:lpstr>uCT_Humerus Diaphysis Cortical</vt:lpstr>
      <vt:lpstr>uCT_Humerus Metaphysis Canc</vt:lpstr>
      <vt:lpstr>uCT_Humerus Epiphysis Canc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Kenneth Philbrick</dc:creator>
  <cp:lastModifiedBy>Iwaniec, Urszula</cp:lastModifiedBy>
  <cp:lastPrinted>2025-12-17T18:35:26Z</cp:lastPrinted>
  <dcterms:created xsi:type="dcterms:W3CDTF">2009-11-26T18:29:54Z</dcterms:created>
  <dcterms:modified xsi:type="dcterms:W3CDTF">2025-12-17T18:35:30Z</dcterms:modified>
</cp:coreProperties>
</file>